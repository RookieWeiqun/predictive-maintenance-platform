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cwq\MyCode\PredictiveMaintenancePlatform\code\"/>
    </mc:Choice>
  </mc:AlternateContent>
  <xr:revisionPtr revIDLastSave="0" documentId="13_ncr:1_{D1167D07-B06D-4718-A562-642CEDCD3E8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  <sheet name="映射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<sst xmlns="http://schemas.openxmlformats.org/spreadsheetml/2006/main" count="110" uniqueCount="75">
  <si>
    <t>2-装置级</t>
  </si>
  <si>
    <t>3-模块级</t>
  </si>
  <si>
    <t>4-检测项目</t>
  </si>
  <si>
    <t>5-检测项明细</t>
  </si>
  <si>
    <t>数据类型</t>
  </si>
  <si>
    <t>整流单元</t>
  </si>
  <si>
    <t>维护前主回路检查</t>
  </si>
  <si>
    <t>主回路相间阻值检测</t>
  </si>
  <si>
    <t>进线与直流母线间阻值是否正常</t>
  </si>
  <si>
    <t>主回路对地阻值检测</t>
  </si>
  <si>
    <t>进线对地阻值是否正常</t>
  </si>
  <si>
    <t>直流母线对地阻值是否正常</t>
  </si>
  <si>
    <t>元件性能检测</t>
  </si>
  <si>
    <t>CUR、PER检测</t>
  </si>
  <si>
    <t>CUR是否正常，无腐蚀</t>
  </si>
  <si>
    <t>PER板是否正常，无腐蚀</t>
  </si>
  <si>
    <t>PER板熔断器是否正常</t>
  </si>
  <si>
    <t>晶闸管触发阻值</t>
  </si>
  <si>
    <t>晶闸管正向耐压测试</t>
  </si>
  <si>
    <t>规则类型</t>
    <phoneticPr fontId="2" type="noConversion"/>
  </si>
  <si>
    <t>规则</t>
    <phoneticPr fontId="2" type="noConversion"/>
  </si>
  <si>
    <t>boolean</t>
    <phoneticPr fontId="2" type="noConversion"/>
  </si>
  <si>
    <t>number</t>
    <phoneticPr fontId="2" type="noConversion"/>
  </si>
  <si>
    <t>boolean_equal</t>
  </si>
  <si>
    <t>number_range</t>
  </si>
  <si>
    <t>是否必填</t>
    <phoneticPr fontId="2" type="noConversion"/>
  </si>
  <si>
    <t>显示条件</t>
    <phoneticPr fontId="2" type="noConversion"/>
  </si>
  <si>
    <t>操作指导</t>
  </si>
  <si>
    <t>建议规则</t>
  </si>
  <si>
    <t>建议内容</t>
  </si>
  <si>
    <t>隐患内容</t>
  </si>
  <si>
    <t>维护说明</t>
  </si>
  <si>
    <t>是</t>
    <phoneticPr fontId="2" type="noConversion"/>
  </si>
  <si>
    <t>否</t>
  </si>
  <si>
    <t>V13触发阻值(Ω)</t>
  </si>
  <si>
    <t>V15触发阻值(Ω)</t>
  </si>
  <si>
    <t>V14触发阻值(Ω)</t>
  </si>
  <si>
    <t>V16触发阻值(Ω)</t>
  </si>
  <si>
    <t>V12触发阻值(Ω)</t>
  </si>
  <si>
    <t>V11正向耐压测试(MΩ)</t>
  </si>
  <si>
    <t>V11触发阻值(Ω)</t>
    <phoneticPr fontId="2" type="noConversion"/>
  </si>
  <si>
    <t>value_type</t>
    <phoneticPr fontId="2" type="noConversion"/>
  </si>
  <si>
    <t>rule_type</t>
    <phoneticPr fontId="2" type="noConversion"/>
  </si>
  <si>
    <t>text</t>
  </si>
  <si>
    <t>text_pattern</t>
  </si>
  <si>
    <t>enum</t>
  </si>
  <si>
    <t>enum</t>
    <phoneticPr fontId="2" type="noConversion"/>
  </si>
  <si>
    <t>否</t>
    <phoneticPr fontId="2" type="noConversion"/>
  </si>
  <si>
    <t>{"options": ["是", "否"], "normal_value":"是"}</t>
    <phoneticPr fontId="2" type="noConversion"/>
  </si>
  <si>
    <t>{"max": 50,"min": 5}</t>
    <phoneticPr fontId="2" type="noConversion"/>
  </si>
  <si>
    <t>{"max": 50,"min": 6}</t>
  </si>
  <si>
    <t>{"max": 50,"min": 7}</t>
  </si>
  <si>
    <t>{"max": 50,"min": 8}</t>
  </si>
  <si>
    <t>{"max": 50,"min": 9}</t>
  </si>
  <si>
    <t>{"max": 50,"min": 10}</t>
  </si>
  <si>
    <t>{"max": 50,"min": 11}</t>
  </si>
  <si>
    <t>{"options": ["正常", "异常"], "normal_value":"正常"}</t>
    <phoneticPr fontId="2" type="noConversion"/>
  </si>
  <si>
    <t>每次启动前必须执行</t>
  </si>
  <si>
    <t>设备启动前检查</t>
    <phoneticPr fontId="2" type="noConversion"/>
  </si>
  <si>
    <t>检查电源连接是否稳电源松动可能导致设备异常启动，存在触电风险固，确认急停按钮功能正常</t>
    <phoneticPr fontId="2" type="noConversion"/>
  </si>
  <si>
    <t>由持证电气工程师执行，记录检查日志</t>
    <phoneticPr fontId="2" type="noConversion"/>
  </si>
  <si>
    <t>电源松动可能导致设备异常启动，存在触电风险</t>
    <phoneticPr fontId="2" type="noConversion"/>
  </si>
  <si>
    <t>传感器校准</t>
    <phoneticPr fontId="2" type="noConversion"/>
  </si>
  <si>
    <t>每季度执行一次</t>
  </si>
  <si>
    <t>使用标准校准工具对压力传感器进行零点和量程校准</t>
    <phoneticPr fontId="2" type="noConversion"/>
  </si>
  <si>
    <t>传感器漂移可能导致过程数据失真，影响产品质量</t>
    <phoneticPr fontId="2" type="noConversion"/>
  </si>
  <si>
    <t>校准后需填写校准报告并存档</t>
    <phoneticPr fontId="2" type="noConversion"/>
  </si>
  <si>
    <t>润滑油更换</t>
    <phoneticPr fontId="2" type="noConversion"/>
  </si>
  <si>
    <t>每运行500小时更换一次</t>
    <phoneticPr fontId="2" type="noConversion"/>
  </si>
  <si>
    <t>使用厂商指定型号润滑油</t>
    <phoneticPr fontId="2" type="noConversion"/>
  </si>
  <si>
    <t>废油须按环保规定处置</t>
    <phoneticPr fontId="2" type="noConversion"/>
  </si>
  <si>
    <t>V11触发阻值(Ω)&gt;10  And V13触发阻值(Ω)&gt;20</t>
    <phoneticPr fontId="2" type="noConversion"/>
  </si>
  <si>
    <t>进线相间阻值是否正常</t>
    <phoneticPr fontId="2" type="noConversion"/>
  </si>
  <si>
    <t>直流母线间阻值是否正常</t>
    <phoneticPr fontId="2" type="noConversion"/>
  </si>
  <si>
    <t>进线相间阻值是否正常=是 Or 直流母线间阻值是否正常=异常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</si>
</sst>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11"/>
      <name val="宋体"/>
      <family val="3"/>
      <charset val="134"/>
    </font>
    <font>
      <sz val="11"/>
      <name val="Siemens Sa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4" borderId="3" xfId="0" applyFont="1" applyFill="1" applyBorder="1"/>
    <xf numFmtId="0" fontId="3" fillId="3" borderId="3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6" xfId="0" applyFont="1" applyBorder="1"/>
    <xf numFmtId="0" fontId="1" fillId="0" borderId="2" xfId="0" applyFont="1" applyBorder="1"/>
    <xf numFmtId="0" fontId="1" fillId="2" borderId="3" xfId="0" applyFont="1" applyFill="1" applyBorder="1"/>
    <xf numFmtId="0" fontId="1" fillId="0" borderId="8" xfId="0" applyFont="1" applyBorder="1"/>
    <xf numFmtId="0" fontId="1" fillId="0" borderId="6" xfId="0" applyFont="1" applyBorder="1" applyAlignment="1">
      <alignment vertical="top"/>
    </xf>
    <xf numFmtId="0" fontId="1" fillId="4" borderId="5" xfId="0" applyFont="1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4" fillId="0" borderId="3" xfId="0" applyFont="1" applyBorder="1" applyAlignment="1">
      <alignment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14" sqref="I14"/>
    </sheetView>
  </sheetViews>
  <sheetFormatPr defaultRowHeight="14.25" x14ac:dyDescent="0.2"/>
  <cols>
    <col min="1" max="1" width="13.25" bestFit="1" customWidth="1"/>
    <col min="2" max="2" width="21.375" customWidth="1"/>
    <col min="3" max="3" width="40.25" customWidth="1"/>
    <col min="4" max="4" width="43.5" customWidth="1"/>
    <col min="6" max="6" width="14.5" customWidth="1"/>
    <col min="7" max="7" width="42.125" bestFit="1" customWidth="1"/>
    <col min="9" max="9" width="56.625" bestFit="1" customWidth="1"/>
    <col min="10" max="10" width="15.125" style="25" bestFit="1" customWidth="1"/>
    <col min="11" max="11" width="9" style="25" customWidth="1"/>
    <col min="12" max="12" width="13" style="25" bestFit="1" customWidth="1"/>
    <col min="13" max="14" width="9" style="25"/>
  </cols>
  <sheetData>
    <row r="1" spans="1:14" x14ac:dyDescent="0.2">
      <c r="A1" s="8" t="s">
        <v>0</v>
      </c>
      <c r="B1" s="11" t="s">
        <v>1</v>
      </c>
      <c r="C1" s="7" t="s">
        <v>2</v>
      </c>
      <c r="D1" s="6" t="s">
        <v>3</v>
      </c>
      <c r="E1" s="5" t="s">
        <v>4</v>
      </c>
      <c r="F1" s="6" t="s">
        <v>19</v>
      </c>
      <c r="G1" s="6" t="s">
        <v>20</v>
      </c>
      <c r="H1" s="5" t="s">
        <v>25</v>
      </c>
      <c r="I1" s="5" t="s">
        <v>26</v>
      </c>
      <c r="J1" s="22" t="s">
        <v>27</v>
      </c>
      <c r="K1" s="23" t="s">
        <v>28</v>
      </c>
      <c r="L1" s="23" t="s">
        <v>29</v>
      </c>
      <c r="M1" s="23" t="s">
        <v>30</v>
      </c>
      <c r="N1" s="23" t="s">
        <v>31</v>
      </c>
    </row>
    <row r="2" spans="1:14" ht="16.5" x14ac:dyDescent="0.3">
      <c r="A2" s="20" t="s">
        <v>5</v>
      </c>
      <c r="B2" s="12" t="s">
        <v>6</v>
      </c>
      <c r="C2" s="16" t="s">
        <v>7</v>
      </c>
      <c r="D2" s="9" t="s">
        <v>72</v>
      </c>
      <c r="E2" s="4" t="s">
        <v>21</v>
      </c>
      <c r="F2" s="4" t="str">
        <f>VLOOKUP(E2, 映射表!$A$2:$B$5, 2, 0)</f>
        <v>boolean_equal</v>
      </c>
      <c r="G2" s="3" t="s">
        <v>48</v>
      </c>
      <c r="H2" t="s">
        <v>32</v>
      </c>
      <c r="J2" s="24" t="s">
        <v>58</v>
      </c>
      <c r="K2" s="26" t="s">
        <v>57</v>
      </c>
      <c r="L2" s="24" t="s">
        <v>59</v>
      </c>
      <c r="M2" s="25" t="s">
        <v>61</v>
      </c>
      <c r="N2" s="25" t="s">
        <v>60</v>
      </c>
    </row>
    <row r="3" spans="1:14" ht="16.5" x14ac:dyDescent="0.3">
      <c r="A3" s="19"/>
      <c r="B3" s="15"/>
      <c r="C3" s="16"/>
      <c r="D3" s="9" t="s">
        <v>73</v>
      </c>
      <c r="E3" s="4" t="s">
        <v>21</v>
      </c>
      <c r="F3" s="4" t="str">
        <f>VLOOKUP(E3, 映射表!$A$2:$B$5, 2, 0)</f>
        <v>boolean_equal</v>
      </c>
      <c r="G3" s="3" t="s">
        <v>56</v>
      </c>
      <c r="H3" t="s">
        <v>32</v>
      </c>
      <c r="J3" s="25" t="s">
        <v>62</v>
      </c>
      <c r="K3" s="26" t="s">
        <v>63</v>
      </c>
      <c r="L3" s="25" t="s">
        <v>64</v>
      </c>
      <c r="M3" s="25" t="s">
        <v>65</v>
      </c>
      <c r="N3" s="25" t="s">
        <v>66</v>
      </c>
    </row>
    <row r="4" spans="1:14" ht="16.5" x14ac:dyDescent="0.3">
      <c r="A4" s="19"/>
      <c r="B4" s="15"/>
      <c r="C4" s="16"/>
      <c r="D4" s="9" t="s">
        <v>8</v>
      </c>
      <c r="E4" s="4" t="s">
        <v>21</v>
      </c>
      <c r="F4" s="4" t="str">
        <f>VLOOKUP(E4, 映射表!$A$2:$B$5, 2, 0)</f>
        <v>boolean_equal</v>
      </c>
      <c r="G4" s="3" t="s">
        <v>48</v>
      </c>
      <c r="H4" t="s">
        <v>32</v>
      </c>
      <c r="I4" t="s">
        <v>74</v>
      </c>
      <c r="J4" s="25" t="s">
        <v>67</v>
      </c>
      <c r="K4" s="25" t="s">
        <v>68</v>
      </c>
      <c r="L4" s="25" t="s">
        <v>69</v>
      </c>
      <c r="M4" s="25" t="s">
        <v>70</v>
      </c>
    </row>
    <row r="5" spans="1:14" ht="16.5" x14ac:dyDescent="0.3">
      <c r="A5" s="19"/>
      <c r="B5" s="13"/>
      <c r="C5" s="1" t="s">
        <v>9</v>
      </c>
      <c r="D5" s="1" t="s">
        <v>10</v>
      </c>
      <c r="E5" s="4" t="s">
        <v>21</v>
      </c>
      <c r="F5" s="4" t="str">
        <f>VLOOKUP(E5, 映射表!$A$2:$B$5, 2, 0)</f>
        <v>boolean_equal</v>
      </c>
      <c r="G5" s="3" t="s">
        <v>48</v>
      </c>
      <c r="H5" t="s">
        <v>32</v>
      </c>
    </row>
    <row r="6" spans="1:14" ht="16.5" x14ac:dyDescent="0.3">
      <c r="A6" s="19"/>
      <c r="B6" s="13"/>
      <c r="C6" s="1"/>
      <c r="D6" s="2" t="s">
        <v>11</v>
      </c>
      <c r="E6" s="4" t="s">
        <v>21</v>
      </c>
      <c r="F6" s="4" t="str">
        <f>VLOOKUP(E6, 映射表!$A$2:$B$5, 2, 0)</f>
        <v>boolean_equal</v>
      </c>
      <c r="G6" s="3" t="s">
        <v>48</v>
      </c>
      <c r="H6" t="s">
        <v>32</v>
      </c>
    </row>
    <row r="7" spans="1:14" ht="16.5" x14ac:dyDescent="0.3">
      <c r="A7" s="19"/>
      <c r="B7" s="18" t="s">
        <v>12</v>
      </c>
      <c r="C7" s="10" t="s">
        <v>13</v>
      </c>
      <c r="D7" s="17" t="s">
        <v>14</v>
      </c>
      <c r="E7" s="4" t="s">
        <v>21</v>
      </c>
      <c r="F7" s="4" t="str">
        <f>VLOOKUP(E7, 映射表!$A$2:$B$5, 2, 0)</f>
        <v>boolean_equal</v>
      </c>
      <c r="G7" s="3" t="s">
        <v>48</v>
      </c>
      <c r="H7" t="s">
        <v>32</v>
      </c>
    </row>
    <row r="8" spans="1:14" ht="16.5" x14ac:dyDescent="0.3">
      <c r="A8" s="19"/>
      <c r="B8" s="15"/>
      <c r="C8" s="10"/>
      <c r="D8" s="17" t="s">
        <v>15</v>
      </c>
      <c r="E8" s="4" t="s">
        <v>21</v>
      </c>
      <c r="F8" s="4" t="str">
        <f>VLOOKUP(E8, 映射表!$A$2:$B$5, 2, 0)</f>
        <v>boolean_equal</v>
      </c>
      <c r="G8" s="3" t="s">
        <v>48</v>
      </c>
      <c r="H8" t="s">
        <v>32</v>
      </c>
    </row>
    <row r="9" spans="1:14" ht="16.5" x14ac:dyDescent="0.3">
      <c r="A9" s="19"/>
      <c r="B9" s="15"/>
      <c r="C9" s="10"/>
      <c r="D9" s="17" t="s">
        <v>16</v>
      </c>
      <c r="E9" s="4" t="s">
        <v>21</v>
      </c>
      <c r="F9" s="4" t="str">
        <f>VLOOKUP(E9, 映射表!$A$2:$B$5, 2, 0)</f>
        <v>boolean_equal</v>
      </c>
      <c r="G9" s="3" t="s">
        <v>48</v>
      </c>
      <c r="H9" t="s">
        <v>32</v>
      </c>
    </row>
    <row r="10" spans="1:14" ht="16.5" x14ac:dyDescent="0.3">
      <c r="A10" s="19"/>
      <c r="B10" s="15"/>
      <c r="C10" s="10" t="s">
        <v>17</v>
      </c>
      <c r="D10" s="17" t="s">
        <v>40</v>
      </c>
      <c r="E10" s="4" t="s">
        <v>22</v>
      </c>
      <c r="F10" s="4" t="str">
        <f>VLOOKUP(E10, 映射表!$A$2:$B$5, 2, 0)</f>
        <v>number_range</v>
      </c>
      <c r="G10" s="3" t="s">
        <v>49</v>
      </c>
      <c r="H10" t="s">
        <v>32</v>
      </c>
    </row>
    <row r="11" spans="1:14" ht="16.5" x14ac:dyDescent="0.3">
      <c r="A11" s="19"/>
      <c r="B11" s="15"/>
      <c r="C11" s="10"/>
      <c r="D11" s="17" t="s">
        <v>34</v>
      </c>
      <c r="E11" s="4" t="s">
        <v>22</v>
      </c>
      <c r="F11" s="4" t="str">
        <f>VLOOKUP(E11, 映射表!$A$2:$B$5, 2, 0)</f>
        <v>number_range</v>
      </c>
      <c r="G11" s="3" t="s">
        <v>50</v>
      </c>
      <c r="H11" t="s">
        <v>32</v>
      </c>
    </row>
    <row r="12" spans="1:14" ht="16.5" x14ac:dyDescent="0.3">
      <c r="A12" s="19"/>
      <c r="B12" s="15"/>
      <c r="C12" s="10"/>
      <c r="D12" s="17" t="s">
        <v>35</v>
      </c>
      <c r="E12" s="4" t="s">
        <v>22</v>
      </c>
      <c r="F12" s="4" t="str">
        <f>VLOOKUP(E12, 映射表!$A$2:$B$5, 2, 0)</f>
        <v>number_range</v>
      </c>
      <c r="G12" s="3" t="s">
        <v>51</v>
      </c>
      <c r="H12" t="s">
        <v>33</v>
      </c>
      <c r="I12" s="2" t="s">
        <v>71</v>
      </c>
    </row>
    <row r="13" spans="1:14" ht="16.5" x14ac:dyDescent="0.3">
      <c r="A13" s="19"/>
      <c r="B13" s="15"/>
      <c r="C13" s="10"/>
      <c r="D13" s="17" t="s">
        <v>36</v>
      </c>
      <c r="E13" s="4" t="s">
        <v>22</v>
      </c>
      <c r="F13" s="4" t="str">
        <f>VLOOKUP(E13, 映射表!$A$2:$B$5, 2, 0)</f>
        <v>number_range</v>
      </c>
      <c r="G13" s="3" t="s">
        <v>52</v>
      </c>
      <c r="H13" t="s">
        <v>32</v>
      </c>
    </row>
    <row r="14" spans="1:14" ht="16.5" x14ac:dyDescent="0.3">
      <c r="A14" s="19"/>
      <c r="B14" s="15"/>
      <c r="C14" s="10"/>
      <c r="D14" s="17" t="s">
        <v>37</v>
      </c>
      <c r="E14" s="4" t="s">
        <v>22</v>
      </c>
      <c r="F14" s="4" t="str">
        <f>VLOOKUP(E14, 映射表!$A$2:$B$5, 2, 0)</f>
        <v>number_range</v>
      </c>
      <c r="G14" s="3" t="s">
        <v>53</v>
      </c>
      <c r="H14" t="s">
        <v>32</v>
      </c>
    </row>
    <row r="15" spans="1:14" ht="16.5" x14ac:dyDescent="0.3">
      <c r="A15" s="19"/>
      <c r="B15" s="15"/>
      <c r="C15" s="10"/>
      <c r="D15" s="17" t="s">
        <v>38</v>
      </c>
      <c r="E15" s="4" t="s">
        <v>22</v>
      </c>
      <c r="F15" s="4" t="str">
        <f>VLOOKUP(E15, 映射表!$A$2:$B$5, 2, 0)</f>
        <v>number_range</v>
      </c>
      <c r="G15" s="3" t="s">
        <v>54</v>
      </c>
      <c r="H15" t="s">
        <v>32</v>
      </c>
    </row>
    <row r="16" spans="1:14" ht="16.5" x14ac:dyDescent="0.3">
      <c r="A16" s="21"/>
      <c r="B16" s="14"/>
      <c r="C16" s="10" t="s">
        <v>18</v>
      </c>
      <c r="D16" s="17" t="s">
        <v>39</v>
      </c>
      <c r="E16" s="4" t="s">
        <v>22</v>
      </c>
      <c r="F16" s="4" t="str">
        <f>VLOOKUP(E16, 映射表!$A$2:$B$5, 2, 0)</f>
        <v>number_range</v>
      </c>
      <c r="G16" s="3" t="s">
        <v>55</v>
      </c>
      <c r="H16" t="s">
        <v>32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D26AE5-6828-455E-B391-5927ED649682}">
          <x14:formula1>
            <xm:f>映射表!$A$2:$A$5</xm:f>
          </x14:formula1>
          <xm:sqref>E1:E1048576</xm:sqref>
        </x14:dataValidation>
        <x14:dataValidation type="list" allowBlank="1" showInputMessage="1" showErrorMessage="1" xr:uid="{7ADF9B88-ABD9-4C2F-8146-1BE837D3EA67}">
          <x14:formula1>
            <xm:f>映射表!$C$2:$C$3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6678-0B69-4288-8B03-4133B07D6C3D}">
  <dimension ref="A1:C5"/>
  <sheetViews>
    <sheetView workbookViewId="0">
      <selection activeCell="G11" sqref="G11"/>
    </sheetView>
  </sheetViews>
  <sheetFormatPr defaultRowHeight="14.25" x14ac:dyDescent="0.2"/>
  <sheetData>
    <row r="1" spans="1:3" x14ac:dyDescent="0.2">
      <c r="A1" t="s">
        <v>41</v>
      </c>
      <c r="B1" t="s">
        <v>42</v>
      </c>
    </row>
    <row r="2" spans="1:3" ht="28.5" x14ac:dyDescent="0.2">
      <c r="A2" s="4" t="s">
        <v>21</v>
      </c>
      <c r="B2" s="4" t="s">
        <v>23</v>
      </c>
      <c r="C2" t="s">
        <v>32</v>
      </c>
    </row>
    <row r="3" spans="1:3" x14ac:dyDescent="0.2">
      <c r="A3" s="4" t="s">
        <v>22</v>
      </c>
      <c r="B3" s="3" t="s">
        <v>24</v>
      </c>
      <c r="C3" t="s">
        <v>47</v>
      </c>
    </row>
    <row r="4" spans="1:3" ht="28.5" x14ac:dyDescent="0.2">
      <c r="A4" s="4" t="s">
        <v>43</v>
      </c>
      <c r="B4" s="4" t="s">
        <v>44</v>
      </c>
    </row>
    <row r="5" spans="1:3" x14ac:dyDescent="0.2">
      <c r="A5" s="4" t="s">
        <v>45</v>
      </c>
      <c r="B5" s="3" t="s">
        <v>46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映射表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Cao, Wei Qun (DI CS SO CN-SE DS SCADA)</dc:creator>
  <cp:lastModifiedBy>Cao, Wei Qun (DI CS SO CN-SE DS SCADA)</cp:lastModifiedBy>
  <dcterms:created xsi:type="dcterms:W3CDTF">2015-06-05T18:19:34Z</dcterms:created>
  <dcterms:modified xsi:type="dcterms:W3CDTF">2026-05-21T03:22:44Z</dcterms:modified>
</cp:coreProperties>
</file>