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 codeName="ThisWorkbook" defaultThemeVersion="124226"/>
  <xr:revisionPtr revIDLastSave="0" documentId="13_ncr:1_{06744A78-5AF1-47B3-BF38-34321E621A96}" xr6:coauthVersionLast="47" xr6:coauthVersionMax="47" xr10:uidLastSave="{00000000-0000-0000-0000-000000000000}"/>
  <bookViews>
    <workbookView xWindow="-120" yWindow="-120" windowWidth="29040" windowHeight="17520" tabRatio="650" xr2:uid="{00000000-000D-0000-FFFF-FFFF00000000}"/>
  </bookViews>
  <sheets>
    <sheet name="外围检测-masterdrive" sheetId="6" r:id="rId1"/>
    <sheet name="映射表" sheetId="7" r:id="rId2"/>
  </sheets>
  <definedNames>
    <definedName name="_xlnm._FilterDatabase" localSheetId="0" hidden="1">'外围检测-masterdrive'!$A$1:$N$39</definedName>
    <definedName name="Z_A814C86E_25A4_42E3_B299_227C8A9779F4_.wvu.FilterData" localSheetId="0" hidden="1">'外围检测-masterdrive'!$A$1:$J$39</definedName>
  </definedNames>
  <calcPr calcId="191028"/>
  <customWorkbookViews>
    <customWorkbookView name="all sheets" guid="{A814C86E-25A4-42E3-B299-227C8A9779F4}" xWindow="-1" yWindow="-1" windowWidth="2562" windowHeight="1394" activeSheetId="3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6" l="1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02" i="6"/>
  <c r="F203" i="6"/>
  <c r="F204" i="6"/>
  <c r="F205" i="6"/>
  <c r="F206" i="6"/>
  <c r="F207" i="6"/>
  <c r="F208" i="6"/>
  <c r="F209" i="6"/>
  <c r="F210" i="6"/>
  <c r="F211" i="6"/>
  <c r="F212" i="6"/>
  <c r="F213" i="6"/>
  <c r="F214" i="6"/>
  <c r="F215" i="6"/>
  <c r="F216" i="6"/>
  <c r="F217" i="6"/>
  <c r="F218" i="6"/>
  <c r="F219" i="6"/>
  <c r="F220" i="6"/>
  <c r="F221" i="6"/>
  <c r="F222" i="6"/>
  <c r="F223" i="6"/>
  <c r="F224" i="6"/>
  <c r="F225" i="6"/>
  <c r="F226" i="6"/>
  <c r="F227" i="6"/>
  <c r="F228" i="6"/>
  <c r="F229" i="6"/>
  <c r="F230" i="6"/>
  <c r="F231" i="6"/>
  <c r="F232" i="6"/>
  <c r="F233" i="6"/>
  <c r="F234" i="6"/>
  <c r="F235" i="6"/>
  <c r="F236" i="6"/>
  <c r="F237" i="6"/>
  <c r="F238" i="6"/>
  <c r="F239" i="6"/>
  <c r="F240" i="6"/>
  <c r="F241" i="6"/>
  <c r="F24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F256" i="6"/>
  <c r="F257" i="6"/>
  <c r="F258" i="6"/>
  <c r="F259" i="6"/>
  <c r="F260" i="6"/>
  <c r="F261" i="6"/>
  <c r="F262" i="6"/>
  <c r="F263" i="6"/>
  <c r="F264" i="6"/>
  <c r="F265" i="6"/>
  <c r="F266" i="6"/>
  <c r="F267" i="6"/>
  <c r="F268" i="6"/>
  <c r="F269" i="6"/>
  <c r="F270" i="6"/>
  <c r="F271" i="6"/>
  <c r="F272" i="6"/>
  <c r="F273" i="6"/>
  <c r="F274" i="6"/>
  <c r="F275" i="6"/>
  <c r="F276" i="6"/>
  <c r="F277" i="6"/>
  <c r="F278" i="6"/>
  <c r="F279" i="6"/>
  <c r="F280" i="6"/>
  <c r="F281" i="6"/>
  <c r="F282" i="6"/>
  <c r="F283" i="6"/>
  <c r="F284" i="6"/>
  <c r="F285" i="6"/>
  <c r="F286" i="6"/>
  <c r="F287" i="6"/>
  <c r="F288" i="6"/>
  <c r="F289" i="6"/>
  <c r="F290" i="6"/>
  <c r="F291" i="6"/>
  <c r="F292" i="6"/>
  <c r="F293" i="6"/>
  <c r="F294" i="6"/>
  <c r="F295" i="6"/>
  <c r="F296" i="6"/>
  <c r="F297" i="6"/>
  <c r="F298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311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324" i="6"/>
  <c r="F325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38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51" i="6"/>
  <c r="F352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65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78" i="6"/>
  <c r="F379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92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405" i="6"/>
  <c r="F406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419" i="6"/>
  <c r="F420" i="6"/>
  <c r="F9" i="6"/>
  <c r="F4" i="6"/>
  <c r="F5" i="6"/>
  <c r="F6" i="6"/>
  <c r="F7" i="6"/>
  <c r="F8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tc={630963DE-492A-44CF-80BD-A7E676251865}</author>
    <author>tc={A6D2FEBD-56A6-45C0-AD95-133723B27D70}</author>
  </authors>
  <commentList>
    <comment ref="C1" authorId="0" shapeId="0" xr:uid="{630963DE-492A-44CF-80BD-A7E676251865}">
      <text>
        <t>[Threaded comment]
Your version of Excel allows you to read this threaded comment; however, any edits to it will get removed if the file is opened in a newer version of Excel. Learn more: https://go.microsoft.com/fwlink/?linkid=870924
Comment:
    进行合格判断的基本单位
Reply:
    有唯一ID
Reply:
    OK, NON-OK</t>
      </text>
    </comment>
    <comment ref="D1" authorId="1" shapeId="0" xr:uid="{A6D2FEBD-56A6-45C0-AD95-133723B27D70}">
      <text>
        <t>[Threaded comment]
Your version of Excel allows you to read this threaded comment; however, any edits to it will get removed if the file is opened in a newer version of Excel. Learn more: https://go.microsoft.com/fwlink/?linkid=870924
Comment:
    有是否字样的布尔量，其他为数值量</t>
      </text>
    </comment>
  </commentList>
</comments>
</file>

<file path=xl/sharedStrings.xml><?xml version="1.0" encoding="utf-8"?>
<sst xmlns="http://schemas.openxmlformats.org/spreadsheetml/2006/main" count="217" uniqueCount="120">
  <si>
    <t>电气室</t>
  </si>
  <si>
    <t>环境检查</t>
  </si>
  <si>
    <t>温度</t>
  </si>
  <si>
    <t>测量电气室温度。</t>
  </si>
  <si>
    <t>电气室内温度(℃)</t>
  </si>
  <si>
    <t>湿度</t>
  </si>
  <si>
    <t>电气室内湿度(%)</t>
  </si>
  <si>
    <t>柜内是否有凝露</t>
  </si>
  <si>
    <t>粉尘</t>
  </si>
  <si>
    <t>柜内是否有大量粉尘</t>
  </si>
  <si>
    <t>是否有对粉尘的有效防护</t>
  </si>
  <si>
    <t>是否封闭</t>
  </si>
  <si>
    <t>观察电气室是否为封闭环境。</t>
  </si>
  <si>
    <t>电气室是否封闭</t>
  </si>
  <si>
    <t>其他</t>
  </si>
  <si>
    <t>查看周边环境是否有有害电子设备运行的因素，如热水池，腐蚀性气体等。</t>
  </si>
  <si>
    <t>周边环境是否有有害电子设备运行的因素，如水池，腐蚀性气体等</t>
  </si>
  <si>
    <t>柜体检查</t>
  </si>
  <si>
    <t xml:space="preserve">柜体 </t>
  </si>
  <si>
    <t>柜体安装是否平稳</t>
  </si>
  <si>
    <t>柜体是否正常无变形</t>
  </si>
  <si>
    <t>柜门锁是否能正常使用</t>
  </si>
  <si>
    <t>柜顶是否有防异物坠落措施</t>
  </si>
  <si>
    <t>通风孔</t>
  </si>
  <si>
    <t>通风孔是否有滤棉</t>
  </si>
  <si>
    <t>通风孔滤棉是否洁净</t>
  </si>
  <si>
    <t>柜底</t>
  </si>
  <si>
    <t>检查柜底是否封堵</t>
  </si>
  <si>
    <t>柜底是否封堵</t>
  </si>
  <si>
    <t>EMC检查</t>
  </si>
  <si>
    <t>柜内接地铜排</t>
  </si>
  <si>
    <t>接地铜排的截面积大小</t>
  </si>
  <si>
    <t>接地铜排截面积是否够大</t>
  </si>
  <si>
    <t>接地线是否紧固牢靠并大面积接触铜排</t>
  </si>
  <si>
    <t>接地线、各接地连接元件、铜排等是否锈蚀</t>
  </si>
  <si>
    <t>信号线屏蔽</t>
  </si>
  <si>
    <t>在接地系统中，各信号线屏蔽应大面积可靠连接系统保护地####铜排。</t>
  </si>
  <si>
    <t>信号线屏蔽接地是否规范</t>
  </si>
  <si>
    <t>装置接地</t>
  </si>
  <si>
    <t>设备是否有可靠接地</t>
  </si>
  <si>
    <t>变频器及其出线是否与其他电缆或设备有足够的距离</t>
  </si>
  <si>
    <t>供电系统</t>
  </si>
  <si>
    <t>电网检查</t>
  </si>
  <si>
    <t>电网类型</t>
  </si>
  <si>
    <t>现场电网类型</t>
  </si>
  <si>
    <t>变压器信息</t>
  </si>
  <si>
    <t>查看变压器铭牌</t>
  </si>
  <si>
    <t>变压器一次电压(V)</t>
  </si>
  <si>
    <t>变压器二次电压(V)</t>
  </si>
  <si>
    <t>变压器容量(KVA)</t>
  </si>
  <si>
    <t>变压器型号</t>
  </si>
  <si>
    <t>电网质量分析</t>
  </si>
  <si>
    <t>用电网分析仪测量电网质量</t>
  </si>
  <si>
    <t>电网检测是否正常</t>
  </si>
  <si>
    <t>电机</t>
  </si>
  <si>
    <t>电机检查</t>
  </si>
  <si>
    <t>电机信息</t>
  </si>
  <si>
    <t>查看电机铭牌</t>
  </si>
  <si>
    <t>电机额定功率(KW)</t>
  </si>
  <si>
    <t>电机额定电压(V)</t>
  </si>
  <si>
    <t>电机额定电流(A)</t>
  </si>
  <si>
    <t>电机额定转速(r/min)</t>
  </si>
  <si>
    <t>电机功率因数</t>
  </si>
  <si>
    <t>绝缘</t>
  </si>
  <si>
    <t>断开电机接线用绝缘表测量</t>
  </si>
  <si>
    <t>电机绝缘(MΩ)</t>
  </si>
  <si>
    <t>绝缘是否符合要求</t>
  </si>
  <si>
    <t>直阻</t>
  </si>
  <si>
    <t>LCR测试仪测量</t>
  </si>
  <si>
    <t>电机直阻(Ω)</t>
  </si>
  <si>
    <t>直阻是否正常</t>
  </si>
  <si>
    <t>5-检测项明细</t>
  </si>
  <si>
    <t>4-检测项目</t>
  </si>
  <si>
    <t>3-模块级</t>
  </si>
  <si>
    <t>2-装置级</t>
  </si>
  <si>
    <t>数据类型</t>
  </si>
  <si>
    <t>操作指导</t>
  </si>
  <si>
    <t>观察柜体安装是否平稳
观察柜体是否变形
检查柜门锁是否能正常使用
检查柜顶是否有防异物坠落措施</t>
  </si>
  <si>
    <t>检查所有装置接地端子是否有可靠接地，比如接地线截面####要求同接地线线径 。
变频器及其出线应与敏感设备或电缆的距离不得小于20cm</t>
  </si>
  <si>
    <t>检查现场电网类型
观察变压器接线方式确定电网类型</t>
  </si>
  <si>
    <t>规则类型</t>
  </si>
  <si>
    <t>建议规则</t>
  </si>
  <si>
    <t>建议内容</t>
  </si>
  <si>
    <t>隐患内容</t>
  </si>
  <si>
    <t>维护说明</t>
  </si>
  <si>
    <t>规则</t>
    <phoneticPr fontId="3" type="noConversion"/>
  </si>
  <si>
    <t>{"max": 20,"min": -5}</t>
    <phoneticPr fontId="3" type="noConversion"/>
  </si>
  <si>
    <t>number_range</t>
  </si>
  <si>
    <t>boolean_equal</t>
  </si>
  <si>
    <t>boolean</t>
  </si>
  <si>
    <t>直阻类型</t>
    <phoneticPr fontId="3" type="noConversion"/>
  </si>
  <si>
    <t>enum</t>
  </si>
  <si>
    <t>enum</t>
    <phoneticPr fontId="3" type="noConversion"/>
  </si>
  <si>
    <t>number</t>
    <phoneticPr fontId="3" type="noConversion"/>
  </si>
  <si>
    <t>boolean</t>
    <phoneticPr fontId="3" type="noConversion"/>
  </si>
  <si>
    <t>text</t>
  </si>
  <si>
    <t>text_pattern</t>
  </si>
  <si>
    <t>{"options": ["纯白", "米白", "乳白"]}</t>
    <phoneticPr fontId="3" type="noConversion"/>
  </si>
  <si>
    <t>{"options": ["是", "否"], "normal_value": "是"}</t>
    <phoneticPr fontId="3" type="noConversion"/>
  </si>
  <si>
    <t>{"max": 50,"min": 5}</t>
    <phoneticPr fontId="3" type="noConversion"/>
  </si>
  <si>
    <t>检查粉尘导电性。</t>
  </si>
  <si>
    <t>检查现场是否有针对粉尘的有效防护措施。</t>
  </si>
  <si>
    <t>观察机柜内的粉尘程度。</t>
    <phoneticPr fontId="3" type="noConversion"/>
  </si>
  <si>
    <t xml:space="preserve">检查通风孔是否有滤棉
</t>
    <phoneticPr fontId="3" type="noConversion"/>
  </si>
  <si>
    <t>检查通风孔滤棉是否洁净</t>
  </si>
  <si>
    <t>确认机柜内是否有凝露。</t>
  </si>
  <si>
    <t>量电气室湿度。</t>
    <phoneticPr fontId="3" type="noConversion"/>
  </si>
  <si>
    <t>value_type</t>
    <phoneticPr fontId="3" type="noConversion"/>
  </si>
  <si>
    <t>rule_type</t>
    <phoneticPr fontId="3" type="noConversion"/>
  </si>
  <si>
    <t>number</t>
  </si>
  <si>
    <t>是否必填</t>
  </si>
  <si>
    <t>是否必填</t>
    <phoneticPr fontId="3" type="noConversion"/>
  </si>
  <si>
    <t>是</t>
  </si>
  <si>
    <t>是</t>
    <phoneticPr fontId="3" type="noConversion"/>
  </si>
  <si>
    <t>否</t>
  </si>
  <si>
    <t>否</t>
    <phoneticPr fontId="3" type="noConversion"/>
  </si>
  <si>
    <t>柜内是否有大量粉尘=是</t>
    <phoneticPr fontId="3" type="noConversion"/>
  </si>
  <si>
    <t>粉尘是否导电</t>
    <phoneticPr fontId="3" type="noConversion"/>
  </si>
  <si>
    <t>柜内是否有大量粉尘=是 And 粉尘是否导电=是</t>
    <phoneticPr fontId="3" type="noConversion"/>
  </si>
  <si>
    <t>显示条件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</si>
</sst>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宋体"/>
      <family val="2"/>
      <scheme val="minor"/>
    </font>
    <font>
      <sz val="11"/>
      <name val="微软雅黑"/>
      <family val="2"/>
      <charset val="134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"/>
      <name val="宋体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2" fillId="0" borderId="0" xfId="0" applyFont="1"/>
    <xf numFmtId="0" fontId="2" fillId="3" borderId="1" xfId="0" applyFont="1" applyFill="1" applyBorder="1"/>
    <xf numFmtId="0" fontId="1" fillId="0" borderId="2" xfId="0" applyFont="1" applyBorder="1"/>
    <xf numFmtId="0" fontId="2" fillId="0" borderId="3" xfId="0" applyFont="1" applyBorder="1"/>
    <xf numFmtId="0" fontId="1" fillId="0" borderId="0" xfId="0" applyFont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1" fillId="0" borderId="4" xfId="0" applyFont="1" applyBorder="1"/>
    <xf numFmtId="0" fontId="0" fillId="2" borderId="1" xfId="0" applyFill="1" applyBorder="1" applyAlignment="1">
      <alignment wrapText="1"/>
    </xf>
    <xf numFmtId="0" fontId="4" fillId="0" borderId="1" xfId="0" applyFont="1" applyBorder="1"/>
  </cellXfs>
  <cellStyles count="1">
    <cellStyle name="Normal" xfId="0" builtinId="0"/>
  </cellStyles>
  <dxfs count="13">
    <dxf>
      <font>
        <b/>
        <i val="0"/>
        <color theme="0"/>
      </font>
      <fill>
        <patternFill>
          <bgColor theme="6" tint="-0.499984740745262"/>
        </patternFill>
      </fill>
    </dxf>
    <dxf>
      <fill>
        <patternFill>
          <bgColor theme="6" tint="-0.24994659260841701"/>
        </patternFill>
      </fill>
    </dxf>
    <dxf>
      <fill>
        <patternFill>
          <bgColor rgb="FF6C6CDA"/>
        </patternFill>
      </fill>
    </dxf>
    <dxf>
      <fill>
        <patternFill>
          <bgColor rgb="FFFFDCDC"/>
        </patternFill>
      </fill>
    </dxf>
    <dxf>
      <fill>
        <patternFill>
          <bgColor rgb="FFFF8A8A"/>
        </patternFill>
      </fill>
    </dxf>
    <dxf>
      <fill>
        <patternFill>
          <bgColor theme="6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6" tint="-0.499984740745262"/>
        </patternFill>
      </fill>
    </dxf>
    <dxf>
      <fill>
        <patternFill>
          <bgColor theme="6" tint="-0.24994659260841701"/>
        </patternFill>
      </fill>
    </dxf>
    <dxf>
      <fill>
        <patternFill>
          <bgColor rgb="FF6C6CDA"/>
        </patternFill>
      </fill>
    </dxf>
    <dxf>
      <fill>
        <patternFill>
          <bgColor rgb="FFFFDCDC"/>
        </patternFill>
      </fill>
    </dxf>
    <dxf>
      <fill>
        <patternFill>
          <bgColor rgb="FFFF8A8A"/>
        </patternFill>
      </fill>
    </dxf>
    <dxf>
      <fill>
        <patternFill>
          <bgColor theme="6" tint="0.39994506668294322"/>
        </patternFill>
      </fill>
    </dxf>
  </dxfs>
  <tableStyles count="0" defaultTableStyle="TableStyleMedium9" defaultPivotStyle="PivotStyleLight16"/>
  <colors>
    <mruColors>
      <color rgb="FF6C6CDA"/>
      <color rgb="FF3333CC"/>
      <color rgb="FFDBB7FF"/>
      <color rgb="FFCC99FF"/>
      <color rgb="FFEA93FF"/>
      <color rgb="FFCC66FF"/>
      <color rgb="FFFF8A8A"/>
      <color rgb="FFFF7878"/>
      <color rgb="FFFFDCDC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" dT="2026-01-09T08:53:35.51" personId="{00000000-0000-0000-0000-000000000000}" id="{630963DE-492A-44CF-80BD-A7E676251865}">
    <text>进行合格判断的基本单位</text>
  </threadedComment>
  <threadedComment ref="C1" dT="2026-01-09T12:11:36.68" personId="{00000000-0000-0000-0000-000000000000}" id="{3A83DA74-0BB8-4B43-B8D7-B9B21EE0D8CC}" parentId="{630963DE-492A-44CF-80BD-A7E676251865}">
    <text>有唯一ID</text>
  </threadedComment>
  <threadedComment ref="C1" dT="2026-03-20T01:47:07.99" personId="{00000000-0000-0000-0000-000000000000}" id="{73609E11-89E4-4591-A709-797F65EC8A7C}" parentId="{630963DE-492A-44CF-80BD-A7E676251865}">
    <text>OK, NON-OK</text>
  </threadedComment>
  <threadedComment ref="D1" dT="2026-01-09T13:45:36.79" personId="{00000000-0000-0000-0000-000000000000}" id="{A6D2FEBD-56A6-45C0-AD95-133723B27D70}">
    <text>有是否字样的布尔量，其他为数值量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A9DC0-A9A1-4E98-A384-5F40C27BBD8F}">
  <sheetPr>
    <tabColor rgb="FF92D050"/>
  </sheetPr>
  <dimension ref="A1:N420"/>
  <sheetViews>
    <sheetView showGridLines="0" tabSelected="1" zoomScale="115" zoomScaleNormal="115" workbookViewId="0">
      <selection activeCell="F14" sqref="F14"/>
    </sheetView>
  </sheetViews>
  <sheetFormatPr defaultRowHeight="13.5" x14ac:dyDescent="0.15"/>
  <cols>
    <col min="1" max="1" width="11.625" customWidth="1"/>
    <col min="2" max="2" width="10.75" customWidth="1"/>
    <col min="3" max="3" width="14.125" customWidth="1"/>
    <col min="4" max="4" width="33.75" style="1" customWidth="1"/>
    <col min="5" max="5" width="11.75" customWidth="1"/>
    <col min="6" max="6" width="15" bestFit="1" customWidth="1"/>
    <col min="7" max="7" width="52.25" bestFit="1" customWidth="1"/>
    <col min="8" max="8" width="11.75" bestFit="1" customWidth="1"/>
    <col min="9" max="9" width="48.375" customWidth="1"/>
    <col min="10" max="10" width="40.125" style="1" bestFit="1" customWidth="1"/>
    <col min="11" max="11" width="15.625" customWidth="1"/>
    <col min="12" max="14" width="12.25" customWidth="1"/>
    <col min="15" max="15" width="15.375" customWidth="1"/>
    <col min="16" max="16" width="22.25" customWidth="1"/>
  </cols>
  <sheetData>
    <row r="1" spans="1:14" s="6" customFormat="1" x14ac:dyDescent="0.15">
      <c r="A1" s="4" t="s">
        <v>74</v>
      </c>
      <c r="B1" s="9" t="s">
        <v>73</v>
      </c>
      <c r="C1" s="7" t="s">
        <v>72</v>
      </c>
      <c r="D1" s="5" t="s">
        <v>71</v>
      </c>
      <c r="E1" s="4" t="s">
        <v>75</v>
      </c>
      <c r="F1" s="4" t="s">
        <v>80</v>
      </c>
      <c r="G1" s="4" t="s">
        <v>85</v>
      </c>
      <c r="H1" s="4" t="s">
        <v>111</v>
      </c>
      <c r="I1" s="4" t="s">
        <v>119</v>
      </c>
      <c r="J1" s="5" t="s">
        <v>76</v>
      </c>
      <c r="K1" s="2" t="s">
        <v>81</v>
      </c>
      <c r="L1" s="2" t="s">
        <v>82</v>
      </c>
      <c r="M1" s="2" t="s">
        <v>83</v>
      </c>
      <c r="N1" s="2" t="s">
        <v>84</v>
      </c>
    </row>
    <row r="2" spans="1:14" s="6" customFormat="1" ht="16.5" x14ac:dyDescent="0.3">
      <c r="A2" s="14" t="s">
        <v>0</v>
      </c>
      <c r="B2" s="11" t="s">
        <v>1</v>
      </c>
      <c r="C2" s="8" t="s">
        <v>2</v>
      </c>
      <c r="D2" s="3" t="s">
        <v>4</v>
      </c>
      <c r="E2" s="3" t="s">
        <v>109</v>
      </c>
      <c r="F2" s="2" t="str">
        <f>IFERROR(VLOOKUP(E2, 映射表!$A$2:$B$5, 2, 0), "")</f>
        <v>number_range</v>
      </c>
      <c r="G2" s="2" t="s">
        <v>86</v>
      </c>
      <c r="H2" s="3" t="s">
        <v>113</v>
      </c>
      <c r="I2" s="2"/>
      <c r="J2" s="3" t="s">
        <v>3</v>
      </c>
      <c r="K2" s="2"/>
      <c r="L2" s="2"/>
      <c r="M2" s="2"/>
      <c r="N2" s="2"/>
    </row>
    <row r="3" spans="1:14" ht="16.5" x14ac:dyDescent="0.3">
      <c r="A3" s="12"/>
      <c r="B3" s="12"/>
      <c r="C3" s="8" t="s">
        <v>5</v>
      </c>
      <c r="D3" s="3" t="s">
        <v>6</v>
      </c>
      <c r="E3" s="3" t="s">
        <v>93</v>
      </c>
      <c r="F3" s="2" t="str">
        <f>IFERROR(VLOOKUP(E3, 映射表!$A$2:$B$5, 2, 0), "")</f>
        <v>number_range</v>
      </c>
      <c r="G3" s="2" t="s">
        <v>99</v>
      </c>
      <c r="H3" s="3" t="s">
        <v>113</v>
      </c>
      <c r="I3" s="2"/>
      <c r="J3" s="3" t="s">
        <v>106</v>
      </c>
      <c r="K3" s="2"/>
      <c r="L3" s="2"/>
      <c r="M3" s="2"/>
      <c r="N3" s="2"/>
    </row>
    <row r="4" spans="1:14" ht="16.5" x14ac:dyDescent="0.3">
      <c r="A4" s="12"/>
      <c r="B4" s="12"/>
      <c r="C4" s="8"/>
      <c r="D4" s="3" t="s">
        <v>7</v>
      </c>
      <c r="E4" s="3" t="s">
        <v>94</v>
      </c>
      <c r="F4" s="2" t="str">
        <f>IFERROR(VLOOKUP(E4, 映射表!$A$2:$B$5, 2, 0), "")</f>
        <v>boolean_equal</v>
      </c>
      <c r="G4" s="2" t="s">
        <v>98</v>
      </c>
      <c r="H4" s="3" t="s">
        <v>113</v>
      </c>
      <c r="I4" s="2"/>
      <c r="J4" s="3" t="s">
        <v>105</v>
      </c>
      <c r="K4" s="2"/>
      <c r="L4" s="2"/>
      <c r="M4" s="2"/>
      <c r="N4" s="2"/>
    </row>
    <row r="5" spans="1:14" ht="16.5" x14ac:dyDescent="0.3">
      <c r="A5" s="12"/>
      <c r="B5" s="12"/>
      <c r="C5" s="8" t="s">
        <v>8</v>
      </c>
      <c r="D5" s="3" t="s">
        <v>9</v>
      </c>
      <c r="E5" s="3" t="s">
        <v>94</v>
      </c>
      <c r="F5" s="2" t="str">
        <f>IFERROR(VLOOKUP(E5, 映射表!$A$2:$B$5, 2, 0), "")</f>
        <v>boolean_equal</v>
      </c>
      <c r="G5" s="2" t="s">
        <v>98</v>
      </c>
      <c r="H5" s="3" t="s">
        <v>113</v>
      </c>
      <c r="I5" s="2"/>
      <c r="J5" s="3" t="s">
        <v>102</v>
      </c>
      <c r="K5" s="2"/>
      <c r="L5" s="2"/>
      <c r="M5" s="2"/>
      <c r="N5" s="2"/>
    </row>
    <row r="6" spans="1:14" ht="16.5" x14ac:dyDescent="0.3">
      <c r="A6" s="12"/>
      <c r="B6" s="12"/>
      <c r="C6" s="8"/>
      <c r="D6" s="15" t="s">
        <v>117</v>
      </c>
      <c r="E6" s="3" t="s">
        <v>94</v>
      </c>
      <c r="F6" s="2" t="str">
        <f>IFERROR(VLOOKUP(E6, 映射表!$A$2:$B$5, 2, 0), "")</f>
        <v>boolean_equal</v>
      </c>
      <c r="G6" s="2" t="s">
        <v>98</v>
      </c>
      <c r="H6" s="3" t="s">
        <v>114</v>
      </c>
      <c r="I6" s="3" t="s">
        <v>116</v>
      </c>
      <c r="J6" s="3" t="s">
        <v>100</v>
      </c>
      <c r="K6" s="2"/>
      <c r="L6" s="2"/>
      <c r="M6" s="2"/>
      <c r="N6" s="2"/>
    </row>
    <row r="7" spans="1:14" ht="16.5" x14ac:dyDescent="0.3">
      <c r="A7" s="12"/>
      <c r="B7" s="12"/>
      <c r="C7" s="8"/>
      <c r="D7" s="15" t="s">
        <v>10</v>
      </c>
      <c r="E7" s="3" t="s">
        <v>94</v>
      </c>
      <c r="F7" s="2" t="str">
        <f>IFERROR(VLOOKUP(E7, 映射表!$A$2:$B$5, 2, 0), "")</f>
        <v>boolean_equal</v>
      </c>
      <c r="G7" s="2" t="s">
        <v>98</v>
      </c>
      <c r="H7" s="3" t="s">
        <v>114</v>
      </c>
      <c r="I7" s="3" t="s">
        <v>118</v>
      </c>
      <c r="J7" s="3" t="s">
        <v>101</v>
      </c>
      <c r="K7" s="2"/>
      <c r="L7" s="2"/>
      <c r="M7" s="2"/>
      <c r="N7" s="2"/>
    </row>
    <row r="8" spans="1:14" ht="16.5" x14ac:dyDescent="0.3">
      <c r="A8" s="12"/>
      <c r="B8" s="12"/>
      <c r="C8" s="8" t="s">
        <v>11</v>
      </c>
      <c r="D8" s="3" t="s">
        <v>13</v>
      </c>
      <c r="E8" s="3" t="s">
        <v>94</v>
      </c>
      <c r="F8" s="2" t="str">
        <f>IFERROR(VLOOKUP(E8, 映射表!$A$2:$B$5, 2, 0), "")</f>
        <v>boolean_equal</v>
      </c>
      <c r="G8" s="2" t="s">
        <v>98</v>
      </c>
      <c r="H8" s="3" t="s">
        <v>112</v>
      </c>
      <c r="I8" s="2"/>
      <c r="J8" s="3" t="s">
        <v>12</v>
      </c>
      <c r="K8" s="2"/>
      <c r="L8" s="2"/>
      <c r="M8" s="2"/>
      <c r="N8" s="2"/>
    </row>
    <row r="9" spans="1:14" ht="29.25" x14ac:dyDescent="0.3">
      <c r="A9" s="12"/>
      <c r="B9" s="13"/>
      <c r="C9" s="8" t="s">
        <v>14</v>
      </c>
      <c r="D9" s="3" t="s">
        <v>16</v>
      </c>
      <c r="E9" s="3" t="s">
        <v>94</v>
      </c>
      <c r="F9" s="2" t="str">
        <f>IFERROR(VLOOKUP(E9, 映射表!$A$2:$B$5, 2, 0), "")</f>
        <v>boolean_equal</v>
      </c>
      <c r="G9" s="2" t="s">
        <v>98</v>
      </c>
      <c r="H9" s="3" t="s">
        <v>113</v>
      </c>
      <c r="I9" s="2"/>
      <c r="J9" s="3" t="s">
        <v>15</v>
      </c>
      <c r="K9" s="2"/>
      <c r="L9" s="2"/>
      <c r="M9" s="2"/>
      <c r="N9" s="2"/>
    </row>
    <row r="10" spans="1:14" ht="56.25" x14ac:dyDescent="0.3">
      <c r="A10" s="12"/>
      <c r="B10" s="11" t="s">
        <v>17</v>
      </c>
      <c r="C10" s="8" t="s">
        <v>18</v>
      </c>
      <c r="D10" s="3" t="s">
        <v>19</v>
      </c>
      <c r="E10" s="3" t="s">
        <v>94</v>
      </c>
      <c r="F10" s="2" t="str">
        <f>IFERROR(VLOOKUP(E10, 映射表!$A$2:$B$5, 2, 0), "")</f>
        <v>boolean_equal</v>
      </c>
      <c r="G10" s="2" t="s">
        <v>98</v>
      </c>
      <c r="H10" s="3" t="s">
        <v>113</v>
      </c>
      <c r="I10" s="2"/>
      <c r="J10" s="3" t="s">
        <v>77</v>
      </c>
      <c r="K10" s="2"/>
      <c r="L10" s="2"/>
      <c r="M10" s="2"/>
      <c r="N10" s="2"/>
    </row>
    <row r="11" spans="1:14" ht="16.5" x14ac:dyDescent="0.3">
      <c r="A11" s="12"/>
      <c r="B11" s="14"/>
      <c r="C11" s="8"/>
      <c r="D11" s="3" t="s">
        <v>20</v>
      </c>
      <c r="E11" s="3" t="s">
        <v>94</v>
      </c>
      <c r="F11" s="2" t="str">
        <f>IFERROR(VLOOKUP(E11, 映射表!$A$2:$B$5, 2, 0), "")</f>
        <v>boolean_equal</v>
      </c>
      <c r="G11" s="2" t="s">
        <v>98</v>
      </c>
      <c r="H11" s="3" t="s">
        <v>113</v>
      </c>
      <c r="I11" s="2"/>
      <c r="J11" s="3"/>
      <c r="K11" s="2"/>
      <c r="L11" s="2"/>
      <c r="M11" s="2"/>
      <c r="N11" s="2"/>
    </row>
    <row r="12" spans="1:14" ht="16.5" x14ac:dyDescent="0.3">
      <c r="A12" s="12"/>
      <c r="B12" s="14"/>
      <c r="C12" s="8"/>
      <c r="D12" s="3" t="s">
        <v>21</v>
      </c>
      <c r="E12" s="3" t="s">
        <v>94</v>
      </c>
      <c r="F12" s="2" t="str">
        <f>IFERROR(VLOOKUP(E12, 映射表!$A$2:$B$5, 2, 0), "")</f>
        <v>boolean_equal</v>
      </c>
      <c r="G12" s="2" t="s">
        <v>98</v>
      </c>
      <c r="H12" s="3" t="s">
        <v>113</v>
      </c>
      <c r="I12" s="2"/>
      <c r="J12" s="3"/>
      <c r="K12" s="2"/>
      <c r="L12" s="2"/>
      <c r="M12" s="2"/>
      <c r="N12" s="2"/>
    </row>
    <row r="13" spans="1:14" ht="16.5" x14ac:dyDescent="0.3">
      <c r="A13" s="12"/>
      <c r="B13" s="14"/>
      <c r="C13" s="8"/>
      <c r="D13" s="3" t="s">
        <v>22</v>
      </c>
      <c r="E13" s="3" t="s">
        <v>94</v>
      </c>
      <c r="F13" s="2" t="str">
        <f>IFERROR(VLOOKUP(E13, 映射表!$A$2:$B$5, 2, 0), "")</f>
        <v>boolean_equal</v>
      </c>
      <c r="G13" s="2" t="s">
        <v>98</v>
      </c>
      <c r="H13" s="3" t="s">
        <v>113</v>
      </c>
      <c r="I13" s="2"/>
      <c r="J13" s="3"/>
      <c r="K13" s="2"/>
      <c r="L13" s="2"/>
      <c r="M13" s="2"/>
      <c r="N13" s="2"/>
    </row>
    <row r="14" spans="1:14" ht="29.25" x14ac:dyDescent="0.3">
      <c r="A14" s="12"/>
      <c r="B14" s="12"/>
      <c r="C14" s="8" t="s">
        <v>23</v>
      </c>
      <c r="D14" s="3" t="s">
        <v>24</v>
      </c>
      <c r="E14" s="3" t="s">
        <v>94</v>
      </c>
      <c r="F14" s="2" t="str">
        <f>IFERROR(VLOOKUP(E14, 映射表!$A$2:$B$5, 2, 0), "")</f>
        <v>boolean_equal</v>
      </c>
      <c r="G14" s="2" t="s">
        <v>98</v>
      </c>
      <c r="H14" s="3" t="s">
        <v>113</v>
      </c>
      <c r="I14" s="2"/>
      <c r="J14" s="3" t="s">
        <v>103</v>
      </c>
      <c r="K14" s="2"/>
      <c r="L14" s="2"/>
      <c r="M14" s="2"/>
      <c r="N14" s="2"/>
    </row>
    <row r="15" spans="1:14" ht="16.5" x14ac:dyDescent="0.3">
      <c r="A15" s="12"/>
      <c r="B15" s="12"/>
      <c r="C15" s="8"/>
      <c r="D15" s="3" t="s">
        <v>25</v>
      </c>
      <c r="E15" s="3" t="s">
        <v>94</v>
      </c>
      <c r="F15" s="2" t="str">
        <f>IFERROR(VLOOKUP(E15, 映射表!$A$2:$B$5, 2, 0), "")</f>
        <v>boolean_equal</v>
      </c>
      <c r="G15" s="2" t="s">
        <v>98</v>
      </c>
      <c r="H15" s="3" t="s">
        <v>113</v>
      </c>
      <c r="I15" s="2"/>
      <c r="J15" s="3" t="s">
        <v>104</v>
      </c>
      <c r="K15" s="2"/>
      <c r="L15" s="2"/>
      <c r="M15" s="2"/>
      <c r="N15" s="2"/>
    </row>
    <row r="16" spans="1:14" ht="16.5" x14ac:dyDescent="0.3">
      <c r="A16" s="12"/>
      <c r="B16" s="12"/>
      <c r="C16" s="8" t="s">
        <v>26</v>
      </c>
      <c r="D16" s="3" t="s">
        <v>28</v>
      </c>
      <c r="E16" s="3" t="s">
        <v>94</v>
      </c>
      <c r="F16" s="2" t="str">
        <f>IFERROR(VLOOKUP(E16, 映射表!$A$2:$B$5, 2, 0), "")</f>
        <v>boolean_equal</v>
      </c>
      <c r="G16" s="2" t="s">
        <v>98</v>
      </c>
      <c r="H16" s="3" t="s">
        <v>113</v>
      </c>
      <c r="I16" s="2"/>
      <c r="J16" s="3" t="s">
        <v>27</v>
      </c>
      <c r="K16" s="2"/>
      <c r="L16" s="2"/>
      <c r="M16" s="2"/>
      <c r="N16" s="2"/>
    </row>
    <row r="17" spans="1:14" ht="29.25" x14ac:dyDescent="0.3">
      <c r="A17" s="12"/>
      <c r="B17" s="13"/>
      <c r="C17" s="8" t="s">
        <v>14</v>
      </c>
      <c r="D17" s="3" t="s">
        <v>16</v>
      </c>
      <c r="E17" s="3" t="s">
        <v>94</v>
      </c>
      <c r="F17" s="2" t="str">
        <f>IFERROR(VLOOKUP(E17, 映射表!$A$2:$B$5, 2, 0), "")</f>
        <v>boolean_equal</v>
      </c>
      <c r="G17" s="2" t="s">
        <v>98</v>
      </c>
      <c r="H17" s="3" t="s">
        <v>113</v>
      </c>
      <c r="I17" s="2"/>
      <c r="J17" s="3" t="s">
        <v>15</v>
      </c>
      <c r="K17" s="2"/>
      <c r="L17" s="2"/>
      <c r="M17" s="2"/>
      <c r="N17" s="2"/>
    </row>
    <row r="18" spans="1:14" ht="16.5" x14ac:dyDescent="0.3">
      <c r="A18" s="12"/>
      <c r="B18" s="11" t="s">
        <v>29</v>
      </c>
      <c r="C18" s="8" t="s">
        <v>30</v>
      </c>
      <c r="D18" s="3" t="s">
        <v>32</v>
      </c>
      <c r="E18" s="3" t="s">
        <v>94</v>
      </c>
      <c r="F18" s="2" t="str">
        <f>IFERROR(VLOOKUP(E18, 映射表!$A$2:$B$5, 2, 0), "")</f>
        <v>boolean_equal</v>
      </c>
      <c r="G18" s="2" t="s">
        <v>98</v>
      </c>
      <c r="H18" s="3" t="s">
        <v>113</v>
      </c>
      <c r="I18" s="2"/>
      <c r="J18" s="3" t="s">
        <v>31</v>
      </c>
      <c r="K18" s="2"/>
      <c r="L18" s="2"/>
      <c r="M18" s="2"/>
      <c r="N18" s="2"/>
    </row>
    <row r="19" spans="1:14" ht="16.5" x14ac:dyDescent="0.3">
      <c r="A19" s="12"/>
      <c r="B19" s="14"/>
      <c r="C19" s="8"/>
      <c r="D19" s="3" t="s">
        <v>33</v>
      </c>
      <c r="E19" s="3" t="s">
        <v>94</v>
      </c>
      <c r="F19" s="2" t="str">
        <f>IFERROR(VLOOKUP(E19, 映射表!$A$2:$B$5, 2, 0), "")</f>
        <v>boolean_equal</v>
      </c>
      <c r="G19" s="2" t="s">
        <v>98</v>
      </c>
      <c r="H19" s="3" t="s">
        <v>113</v>
      </c>
      <c r="I19" s="2"/>
      <c r="J19" s="3"/>
      <c r="K19" s="2"/>
      <c r="L19" s="2"/>
      <c r="M19" s="2"/>
      <c r="N19" s="2"/>
    </row>
    <row r="20" spans="1:14" ht="29.25" x14ac:dyDescent="0.3">
      <c r="A20" s="12"/>
      <c r="B20" s="14"/>
      <c r="C20" s="8"/>
      <c r="D20" s="3" t="s">
        <v>34</v>
      </c>
      <c r="E20" s="3" t="s">
        <v>94</v>
      </c>
      <c r="F20" s="16" t="str">
        <f>IFERROR(VLOOKUP(E20, 映射表!$A$2:$B$5, 2, 0), "")</f>
        <v>boolean_equal</v>
      </c>
      <c r="G20" s="2" t="s">
        <v>98</v>
      </c>
      <c r="H20" s="3" t="s">
        <v>113</v>
      </c>
      <c r="I20" s="2"/>
      <c r="J20" s="3"/>
      <c r="K20" s="2"/>
      <c r="L20" s="2"/>
      <c r="M20" s="2"/>
      <c r="N20" s="2"/>
    </row>
    <row r="21" spans="1:14" ht="29.25" x14ac:dyDescent="0.3">
      <c r="A21" s="12"/>
      <c r="B21" s="12"/>
      <c r="C21" s="8" t="s">
        <v>35</v>
      </c>
      <c r="D21" s="3" t="s">
        <v>37</v>
      </c>
      <c r="E21" s="3" t="s">
        <v>94</v>
      </c>
      <c r="F21" s="2" t="str">
        <f>IFERROR(VLOOKUP(E21, 映射表!$A$2:$B$5, 2, 0), "")</f>
        <v>boolean_equal</v>
      </c>
      <c r="G21" s="2" t="s">
        <v>98</v>
      </c>
      <c r="H21" s="3" t="s">
        <v>113</v>
      </c>
      <c r="I21" s="2"/>
      <c r="J21" s="3" t="s">
        <v>36</v>
      </c>
      <c r="K21" s="2"/>
      <c r="L21" s="2"/>
      <c r="M21" s="2"/>
      <c r="N21" s="2"/>
    </row>
    <row r="22" spans="1:14" ht="56.25" x14ac:dyDescent="0.3">
      <c r="A22" s="13"/>
      <c r="B22" s="13"/>
      <c r="C22" s="8" t="s">
        <v>38</v>
      </c>
      <c r="D22" s="3" t="s">
        <v>39</v>
      </c>
      <c r="E22" s="3" t="s">
        <v>94</v>
      </c>
      <c r="F22" s="2" t="str">
        <f>IFERROR(VLOOKUP(E22, 映射表!$A$2:$B$5, 2, 0), "")</f>
        <v>boolean_equal</v>
      </c>
      <c r="G22" s="2" t="s">
        <v>98</v>
      </c>
      <c r="H22" s="3" t="s">
        <v>113</v>
      </c>
      <c r="I22" s="2"/>
      <c r="J22" s="3" t="s">
        <v>78</v>
      </c>
      <c r="K22" s="2"/>
      <c r="L22" s="2"/>
      <c r="M22" s="2"/>
      <c r="N22" s="2"/>
    </row>
    <row r="23" spans="1:14" ht="29.25" x14ac:dyDescent="0.3">
      <c r="A23" s="12"/>
      <c r="B23" s="12"/>
      <c r="C23" s="8"/>
      <c r="D23" s="3" t="s">
        <v>40</v>
      </c>
      <c r="E23" s="3" t="s">
        <v>94</v>
      </c>
      <c r="F23" s="2" t="str">
        <f>IFERROR(VLOOKUP(E23, 映射表!$A$2:$B$5, 2, 0), "")</f>
        <v>boolean_equal</v>
      </c>
      <c r="G23" s="2" t="s">
        <v>98</v>
      </c>
      <c r="H23" s="3" t="s">
        <v>113</v>
      </c>
      <c r="I23" s="2"/>
      <c r="J23" s="3"/>
      <c r="K23" s="2"/>
      <c r="L23" s="2"/>
      <c r="M23" s="2"/>
      <c r="N23" s="2"/>
    </row>
    <row r="24" spans="1:14" ht="29.25" x14ac:dyDescent="0.3">
      <c r="A24" s="11" t="s">
        <v>41</v>
      </c>
      <c r="B24" s="11" t="s">
        <v>42</v>
      </c>
      <c r="C24" s="8" t="s">
        <v>43</v>
      </c>
      <c r="D24" s="3" t="s">
        <v>44</v>
      </c>
      <c r="E24" s="3" t="s">
        <v>95</v>
      </c>
      <c r="F24" s="2" t="str">
        <f>IFERROR(VLOOKUP(E24, 映射表!$A$2:$B$5, 2, 0), "")</f>
        <v>text_pattern</v>
      </c>
      <c r="G24" s="2"/>
      <c r="H24" s="3" t="s">
        <v>113</v>
      </c>
      <c r="I24" s="2"/>
      <c r="J24" s="3" t="s">
        <v>79</v>
      </c>
      <c r="K24" s="2"/>
      <c r="L24" s="2"/>
      <c r="M24" s="2"/>
      <c r="N24" s="2"/>
    </row>
    <row r="25" spans="1:14" ht="16.5" x14ac:dyDescent="0.3">
      <c r="A25" s="12"/>
      <c r="B25" s="12"/>
      <c r="C25" s="8" t="s">
        <v>45</v>
      </c>
      <c r="D25" s="3" t="s">
        <v>47</v>
      </c>
      <c r="E25" s="3" t="s">
        <v>95</v>
      </c>
      <c r="F25" s="2" t="str">
        <f>IFERROR(VLOOKUP(E25, 映射表!$A$2:$B$5, 2, 0), "")</f>
        <v>text_pattern</v>
      </c>
      <c r="G25" s="2"/>
      <c r="H25" s="3" t="s">
        <v>113</v>
      </c>
      <c r="I25" s="2"/>
      <c r="J25" s="3" t="s">
        <v>46</v>
      </c>
      <c r="K25" s="2"/>
      <c r="L25" s="2"/>
      <c r="M25" s="2"/>
      <c r="N25" s="2"/>
    </row>
    <row r="26" spans="1:14" ht="16.5" x14ac:dyDescent="0.3">
      <c r="A26" s="12"/>
      <c r="B26" s="12"/>
      <c r="C26" s="8"/>
      <c r="D26" s="3" t="s">
        <v>48</v>
      </c>
      <c r="E26" s="3" t="s">
        <v>95</v>
      </c>
      <c r="F26" s="2" t="str">
        <f>IFERROR(VLOOKUP(E26, 映射表!$A$2:$B$5, 2, 0), "")</f>
        <v>text_pattern</v>
      </c>
      <c r="G26" s="2"/>
      <c r="H26" s="3" t="s">
        <v>113</v>
      </c>
      <c r="I26" s="2"/>
      <c r="J26" s="3"/>
      <c r="K26" s="2"/>
      <c r="L26" s="2"/>
      <c r="M26" s="2"/>
      <c r="N26" s="2"/>
    </row>
    <row r="27" spans="1:14" ht="16.5" x14ac:dyDescent="0.3">
      <c r="A27" s="12"/>
      <c r="B27" s="12"/>
      <c r="C27" s="8"/>
      <c r="D27" s="3" t="s">
        <v>49</v>
      </c>
      <c r="E27" s="3" t="s">
        <v>95</v>
      </c>
      <c r="F27" s="2" t="str">
        <f>IFERROR(VLOOKUP(E27, 映射表!$A$2:$B$5, 2, 0), "")</f>
        <v>text_pattern</v>
      </c>
      <c r="G27" s="2"/>
      <c r="H27" s="3" t="s">
        <v>113</v>
      </c>
      <c r="I27" s="2"/>
      <c r="J27" s="3"/>
      <c r="K27" s="2"/>
      <c r="L27" s="2"/>
      <c r="M27" s="2"/>
      <c r="N27" s="2"/>
    </row>
    <row r="28" spans="1:14" ht="16.5" x14ac:dyDescent="0.3">
      <c r="A28" s="12"/>
      <c r="B28" s="12"/>
      <c r="C28" s="8"/>
      <c r="D28" s="3" t="s">
        <v>50</v>
      </c>
      <c r="E28" s="3" t="s">
        <v>95</v>
      </c>
      <c r="F28" s="2" t="str">
        <f>IFERROR(VLOOKUP(E28, 映射表!$A$2:$B$5, 2, 0), "")</f>
        <v>text_pattern</v>
      </c>
      <c r="G28" s="2"/>
      <c r="H28" s="3" t="s">
        <v>113</v>
      </c>
      <c r="I28" s="2"/>
      <c r="J28" s="3"/>
      <c r="K28" s="2"/>
      <c r="L28" s="2"/>
      <c r="M28" s="2"/>
      <c r="N28" s="2"/>
    </row>
    <row r="29" spans="1:14" ht="16.5" x14ac:dyDescent="0.3">
      <c r="A29" s="13"/>
      <c r="B29" s="13"/>
      <c r="C29" s="8" t="s">
        <v>51</v>
      </c>
      <c r="D29" s="3" t="s">
        <v>53</v>
      </c>
      <c r="E29" s="3" t="s">
        <v>89</v>
      </c>
      <c r="F29" s="2" t="str">
        <f>IFERROR(VLOOKUP(E29, 映射表!$A$2:$B$5, 2, 0), "")</f>
        <v>boolean_equal</v>
      </c>
      <c r="G29" s="2" t="s">
        <v>98</v>
      </c>
      <c r="H29" s="3" t="s">
        <v>113</v>
      </c>
      <c r="I29" s="2"/>
      <c r="J29" s="3" t="s">
        <v>52</v>
      </c>
      <c r="K29" s="2"/>
      <c r="L29" s="2"/>
      <c r="M29" s="2"/>
      <c r="N29" s="2"/>
    </row>
    <row r="30" spans="1:14" ht="16.5" x14ac:dyDescent="0.3">
      <c r="A30" s="11" t="s">
        <v>54</v>
      </c>
      <c r="B30" s="11" t="s">
        <v>55</v>
      </c>
      <c r="C30" s="8" t="s">
        <v>56</v>
      </c>
      <c r="D30" s="3" t="s">
        <v>58</v>
      </c>
      <c r="E30" s="3" t="s">
        <v>95</v>
      </c>
      <c r="F30" s="2" t="str">
        <f>IFERROR(VLOOKUP(E30, 映射表!$A$2:$B$5, 2, 0), "")</f>
        <v>text_pattern</v>
      </c>
      <c r="G30" s="2"/>
      <c r="H30" s="3" t="s">
        <v>113</v>
      </c>
      <c r="I30" s="2"/>
      <c r="J30" s="3" t="s">
        <v>57</v>
      </c>
      <c r="K30" s="2"/>
      <c r="L30" s="2"/>
      <c r="M30" s="2"/>
      <c r="N30" s="2"/>
    </row>
    <row r="31" spans="1:14" ht="16.5" x14ac:dyDescent="0.3">
      <c r="A31" s="14"/>
      <c r="B31" s="14"/>
      <c r="C31" s="8"/>
      <c r="D31" s="3" t="s">
        <v>59</v>
      </c>
      <c r="E31" s="3" t="s">
        <v>95</v>
      </c>
      <c r="F31" s="2" t="str">
        <f>IFERROR(VLOOKUP(E31, 映射表!$A$2:$B$5, 2, 0), "")</f>
        <v>text_pattern</v>
      </c>
      <c r="G31" s="2"/>
      <c r="H31" s="3" t="s">
        <v>113</v>
      </c>
      <c r="I31" s="2"/>
      <c r="J31" s="3"/>
      <c r="K31" s="2"/>
      <c r="L31" s="2"/>
      <c r="M31" s="2"/>
      <c r="N31" s="2"/>
    </row>
    <row r="32" spans="1:14" ht="16.5" x14ac:dyDescent="0.3">
      <c r="A32" s="14"/>
      <c r="B32" s="14"/>
      <c r="C32" s="8"/>
      <c r="D32" s="3" t="s">
        <v>60</v>
      </c>
      <c r="E32" s="3" t="s">
        <v>95</v>
      </c>
      <c r="F32" s="2" t="str">
        <f>IFERROR(VLOOKUP(E32, 映射表!$A$2:$B$5, 2, 0), "")</f>
        <v>text_pattern</v>
      </c>
      <c r="G32" s="2"/>
      <c r="H32" s="3" t="s">
        <v>113</v>
      </c>
      <c r="I32" s="2"/>
      <c r="J32" s="3"/>
      <c r="K32" s="2"/>
      <c r="L32" s="2"/>
      <c r="M32" s="2"/>
      <c r="N32" s="2"/>
    </row>
    <row r="33" spans="1:14" ht="16.5" x14ac:dyDescent="0.3">
      <c r="A33" s="14"/>
      <c r="B33" s="14"/>
      <c r="C33" s="8"/>
      <c r="D33" s="3" t="s">
        <v>61</v>
      </c>
      <c r="E33" s="3" t="s">
        <v>95</v>
      </c>
      <c r="F33" s="2" t="str">
        <f>IFERROR(VLOOKUP(E33, 映射表!$A$2:$B$5, 2, 0), "")</f>
        <v>text_pattern</v>
      </c>
      <c r="G33" s="2"/>
      <c r="H33" s="3" t="s">
        <v>113</v>
      </c>
      <c r="I33" s="2"/>
      <c r="J33" s="3"/>
      <c r="K33" s="2"/>
      <c r="L33" s="2"/>
      <c r="M33" s="2"/>
      <c r="N33" s="2"/>
    </row>
    <row r="34" spans="1:14" ht="16.5" x14ac:dyDescent="0.3">
      <c r="A34" s="14"/>
      <c r="B34" s="14"/>
      <c r="C34" s="8"/>
      <c r="D34" s="3" t="s">
        <v>62</v>
      </c>
      <c r="E34" s="3" t="s">
        <v>95</v>
      </c>
      <c r="F34" s="2" t="str">
        <f>IFERROR(VLOOKUP(E34, 映射表!$A$2:$B$5, 2, 0), "")</f>
        <v>text_pattern</v>
      </c>
      <c r="G34" s="2"/>
      <c r="H34" s="3" t="s">
        <v>113</v>
      </c>
      <c r="I34" s="2"/>
      <c r="J34" s="3"/>
      <c r="K34" s="2"/>
      <c r="L34" s="2"/>
      <c r="M34" s="2"/>
      <c r="N34" s="2"/>
    </row>
    <row r="35" spans="1:14" ht="16.5" x14ac:dyDescent="0.3">
      <c r="A35" s="12"/>
      <c r="B35" s="12"/>
      <c r="C35" s="8" t="s">
        <v>63</v>
      </c>
      <c r="D35" s="3" t="s">
        <v>65</v>
      </c>
      <c r="E35" s="3" t="s">
        <v>95</v>
      </c>
      <c r="F35" s="2" t="str">
        <f>IFERROR(VLOOKUP(E35, 映射表!$A$2:$B$5, 2, 0), "")</f>
        <v>text_pattern</v>
      </c>
      <c r="G35" s="2"/>
      <c r="H35" s="3" t="s">
        <v>113</v>
      </c>
      <c r="I35" s="2"/>
      <c r="J35" s="3" t="s">
        <v>64</v>
      </c>
      <c r="K35" s="2"/>
      <c r="L35" s="2"/>
      <c r="M35" s="2"/>
      <c r="N35" s="2"/>
    </row>
    <row r="36" spans="1:14" ht="16.5" x14ac:dyDescent="0.3">
      <c r="A36" s="12"/>
      <c r="B36" s="12"/>
      <c r="C36" s="8"/>
      <c r="D36" s="3" t="s">
        <v>66</v>
      </c>
      <c r="E36" s="3" t="s">
        <v>94</v>
      </c>
      <c r="F36" s="2" t="str">
        <f>IFERROR(VLOOKUP(E36, 映射表!$A$2:$B$5, 2, 0), "")</f>
        <v>boolean_equal</v>
      </c>
      <c r="G36" s="3" t="s">
        <v>98</v>
      </c>
      <c r="H36" s="3" t="s">
        <v>113</v>
      </c>
      <c r="I36" s="3"/>
      <c r="J36" s="3"/>
      <c r="K36" s="2"/>
      <c r="L36" s="2"/>
      <c r="M36" s="2"/>
      <c r="N36" s="2"/>
    </row>
    <row r="37" spans="1:14" ht="16.5" x14ac:dyDescent="0.3">
      <c r="A37" s="12"/>
      <c r="B37" s="12"/>
      <c r="C37" s="8" t="s">
        <v>67</v>
      </c>
      <c r="D37" s="3" t="s">
        <v>69</v>
      </c>
      <c r="E37" s="3" t="s">
        <v>109</v>
      </c>
      <c r="F37" s="2" t="str">
        <f>IFERROR(VLOOKUP(E37, 映射表!$A$2:$B$5, 2, 0), "")</f>
        <v>number_range</v>
      </c>
      <c r="G37" s="2"/>
      <c r="H37" s="3" t="s">
        <v>113</v>
      </c>
      <c r="I37" s="2"/>
      <c r="J37" s="3" t="s">
        <v>68</v>
      </c>
      <c r="K37" s="2"/>
      <c r="L37" s="2"/>
      <c r="M37" s="2"/>
      <c r="N37" s="2"/>
    </row>
    <row r="38" spans="1:14" ht="16.5" x14ac:dyDescent="0.3">
      <c r="A38" s="12"/>
      <c r="B38" s="12"/>
      <c r="C38" s="8"/>
      <c r="D38" s="3" t="s">
        <v>90</v>
      </c>
      <c r="E38" s="3" t="s">
        <v>91</v>
      </c>
      <c r="F38" s="2" t="str">
        <f>IFERROR(VLOOKUP(E38, 映射表!$A$2:$B$5, 2, 0), "")</f>
        <v>enum</v>
      </c>
      <c r="G38" s="2" t="s">
        <v>97</v>
      </c>
      <c r="H38" s="3" t="s">
        <v>113</v>
      </c>
      <c r="I38" s="2"/>
      <c r="J38" s="3"/>
      <c r="K38" s="2"/>
      <c r="L38" s="2"/>
      <c r="M38" s="2"/>
      <c r="N38" s="2"/>
    </row>
    <row r="39" spans="1:14" ht="16.5" x14ac:dyDescent="0.3">
      <c r="A39" s="13"/>
      <c r="B39" s="13"/>
      <c r="C39" s="8"/>
      <c r="D39" s="3" t="s">
        <v>70</v>
      </c>
      <c r="E39" s="3" t="s">
        <v>94</v>
      </c>
      <c r="F39" s="2" t="str">
        <f>IFERROR(VLOOKUP(E39, 映射表!$A$2:$B$5, 2, 0), "")</f>
        <v>boolean_equal</v>
      </c>
      <c r="G39" s="3" t="s">
        <v>98</v>
      </c>
      <c r="H39" s="3" t="s">
        <v>113</v>
      </c>
      <c r="I39" s="3"/>
      <c r="J39" s="3"/>
      <c r="K39" s="2"/>
      <c r="L39" s="2"/>
      <c r="M39" s="2"/>
      <c r="N39" s="2"/>
    </row>
    <row r="40" spans="1:14" ht="16.5" x14ac:dyDescent="0.3">
      <c r="C40" s="10"/>
      <c r="E40" s="1"/>
      <c r="F40" t="str">
        <f>IFERROR(VLOOKUP(E40, 映射表!$A$2:$B$5, 2, 0), "")</f>
        <v/>
      </c>
      <c r="H40" s="1"/>
    </row>
    <row r="41" spans="1:14" x14ac:dyDescent="0.15">
      <c r="F41" t="str">
        <f>IFERROR(VLOOKUP(E41, 映射表!$A$2:$B$5, 2, 0), "")</f>
        <v/>
      </c>
    </row>
    <row r="42" spans="1:14" x14ac:dyDescent="0.15">
      <c r="F42" t="str">
        <f>IFERROR(VLOOKUP(E42, 映射表!$A$2:$B$5, 2, 0), "")</f>
        <v/>
      </c>
    </row>
    <row r="43" spans="1:14" x14ac:dyDescent="0.15">
      <c r="F43" t="str">
        <f>IFERROR(VLOOKUP(E43, 映射表!$A$2:$B$5, 2, 0), "")</f>
        <v/>
      </c>
    </row>
    <row r="44" spans="1:14" x14ac:dyDescent="0.15">
      <c r="F44" t="str">
        <f>IFERROR(VLOOKUP(E44, 映射表!$A$2:$B$5, 2, 0), "")</f>
        <v/>
      </c>
    </row>
    <row r="45" spans="1:14" x14ac:dyDescent="0.15">
      <c r="F45" t="str">
        <f>IFERROR(VLOOKUP(E45, 映射表!$A$2:$B$5, 2, 0), "")</f>
        <v/>
      </c>
    </row>
    <row r="46" spans="1:14" x14ac:dyDescent="0.15">
      <c r="F46" t="str">
        <f>IFERROR(VLOOKUP(E46, 映射表!$A$2:$B$5, 2, 0), "")</f>
        <v/>
      </c>
    </row>
    <row r="47" spans="1:14" x14ac:dyDescent="0.15">
      <c r="F47" t="str">
        <f>IFERROR(VLOOKUP(E47, 映射表!$A$2:$B$5, 2, 0), "")</f>
        <v/>
      </c>
    </row>
    <row r="48" spans="1:14" x14ac:dyDescent="0.15">
      <c r="F48" t="str">
        <f>IFERROR(VLOOKUP(E48, 映射表!$A$2:$B$5, 2, 0), "")</f>
        <v/>
      </c>
    </row>
    <row r="49" spans="6:6" x14ac:dyDescent="0.15">
      <c r="F49" t="str">
        <f>IFERROR(VLOOKUP(E49, 映射表!$A$2:$B$5, 2, 0), "")</f>
        <v/>
      </c>
    </row>
    <row r="50" spans="6:6" x14ac:dyDescent="0.15">
      <c r="F50" t="str">
        <f>IFERROR(VLOOKUP(E50, 映射表!$A$2:$B$5, 2, 0), "")</f>
        <v/>
      </c>
    </row>
    <row r="51" spans="6:6" x14ac:dyDescent="0.15">
      <c r="F51" t="str">
        <f>IFERROR(VLOOKUP(E51, 映射表!$A$2:$B$5, 2, 0), "")</f>
        <v/>
      </c>
    </row>
    <row r="52" spans="6:6" x14ac:dyDescent="0.15">
      <c r="F52" t="str">
        <f>IFERROR(VLOOKUP(E52, 映射表!$A$2:$B$5, 2, 0), "")</f>
        <v/>
      </c>
    </row>
    <row r="53" spans="6:6" x14ac:dyDescent="0.15">
      <c r="F53" t="str">
        <f>IFERROR(VLOOKUP(E53, 映射表!$A$2:$B$5, 2, 0), "")</f>
        <v/>
      </c>
    </row>
    <row r="54" spans="6:6" x14ac:dyDescent="0.15">
      <c r="F54" t="str">
        <f>IFERROR(VLOOKUP(E54, 映射表!$A$2:$B$5, 2, 0), "")</f>
        <v/>
      </c>
    </row>
    <row r="55" spans="6:6" x14ac:dyDescent="0.15">
      <c r="F55" t="str">
        <f>IFERROR(VLOOKUP(E55, 映射表!$A$2:$B$5, 2, 0), "")</f>
        <v/>
      </c>
    </row>
    <row r="56" spans="6:6" x14ac:dyDescent="0.15">
      <c r="F56" t="str">
        <f>IFERROR(VLOOKUP(E56, 映射表!$A$2:$B$5, 2, 0), "")</f>
        <v/>
      </c>
    </row>
    <row r="57" spans="6:6" x14ac:dyDescent="0.15">
      <c r="F57" t="str">
        <f>IFERROR(VLOOKUP(E57, 映射表!$A$2:$B$5, 2, 0), "")</f>
        <v/>
      </c>
    </row>
    <row r="58" spans="6:6" x14ac:dyDescent="0.15">
      <c r="F58" t="str">
        <f>IFERROR(VLOOKUP(E58, 映射表!$A$2:$B$5, 2, 0), "")</f>
        <v/>
      </c>
    </row>
    <row r="59" spans="6:6" x14ac:dyDescent="0.15">
      <c r="F59" t="str">
        <f>IFERROR(VLOOKUP(E59, 映射表!$A$2:$B$5, 2, 0), "")</f>
        <v/>
      </c>
    </row>
    <row r="60" spans="6:6" x14ac:dyDescent="0.15">
      <c r="F60" t="str">
        <f>IFERROR(VLOOKUP(E60, 映射表!$A$2:$B$5, 2, 0), "")</f>
        <v/>
      </c>
    </row>
    <row r="61" spans="6:6" x14ac:dyDescent="0.15">
      <c r="F61" t="str">
        <f>IFERROR(VLOOKUP(E61, 映射表!$A$2:$B$5, 2, 0), "")</f>
        <v/>
      </c>
    </row>
    <row r="62" spans="6:6" x14ac:dyDescent="0.15">
      <c r="F62" t="str">
        <f>IFERROR(VLOOKUP(E62, 映射表!$A$2:$B$5, 2, 0), "")</f>
        <v/>
      </c>
    </row>
    <row r="63" spans="6:6" x14ac:dyDescent="0.15">
      <c r="F63" t="str">
        <f>IFERROR(VLOOKUP(E63, 映射表!$A$2:$B$5, 2, 0), "")</f>
        <v/>
      </c>
    </row>
    <row r="64" spans="6:6" x14ac:dyDescent="0.15">
      <c r="F64" t="str">
        <f>IFERROR(VLOOKUP(E64, 映射表!$A$2:$B$5, 2, 0), "")</f>
        <v/>
      </c>
    </row>
    <row r="65" spans="6:6" x14ac:dyDescent="0.15">
      <c r="F65" t="str">
        <f>IFERROR(VLOOKUP(E65, 映射表!$A$2:$B$5, 2, 0), "")</f>
        <v/>
      </c>
    </row>
    <row r="66" spans="6:6" x14ac:dyDescent="0.15">
      <c r="F66" t="str">
        <f>IFERROR(VLOOKUP(E66, 映射表!$A$2:$B$5, 2, 0), "")</f>
        <v/>
      </c>
    </row>
    <row r="67" spans="6:6" x14ac:dyDescent="0.15">
      <c r="F67" t="str">
        <f>IFERROR(VLOOKUP(E67, 映射表!$A$2:$B$5, 2, 0), "")</f>
        <v/>
      </c>
    </row>
    <row r="68" spans="6:6" x14ac:dyDescent="0.15">
      <c r="F68" t="str">
        <f>IFERROR(VLOOKUP(E68, 映射表!$A$2:$B$5, 2, 0), "")</f>
        <v/>
      </c>
    </row>
    <row r="69" spans="6:6" x14ac:dyDescent="0.15">
      <c r="F69" t="str">
        <f>IFERROR(VLOOKUP(E69, 映射表!$A$2:$B$5, 2, 0), "")</f>
        <v/>
      </c>
    </row>
    <row r="70" spans="6:6" x14ac:dyDescent="0.15">
      <c r="F70" t="str">
        <f>IFERROR(VLOOKUP(E70, 映射表!$A$2:$B$5, 2, 0), "")</f>
        <v/>
      </c>
    </row>
    <row r="71" spans="6:6" x14ac:dyDescent="0.15">
      <c r="F71" t="str">
        <f>IFERROR(VLOOKUP(E71, 映射表!$A$2:$B$5, 2, 0), "")</f>
        <v/>
      </c>
    </row>
    <row r="72" spans="6:6" x14ac:dyDescent="0.15">
      <c r="F72" t="str">
        <f>IFERROR(VLOOKUP(E72, 映射表!$A$2:$B$5, 2, 0), "")</f>
        <v/>
      </c>
    </row>
    <row r="73" spans="6:6" x14ac:dyDescent="0.15">
      <c r="F73" t="str">
        <f>IFERROR(VLOOKUP(E73, 映射表!$A$2:$B$5, 2, 0), "")</f>
        <v/>
      </c>
    </row>
    <row r="74" spans="6:6" x14ac:dyDescent="0.15">
      <c r="F74" t="str">
        <f>IFERROR(VLOOKUP(E74, 映射表!$A$2:$B$5, 2, 0), "")</f>
        <v/>
      </c>
    </row>
    <row r="75" spans="6:6" x14ac:dyDescent="0.15">
      <c r="F75" t="str">
        <f>IFERROR(VLOOKUP(E75, 映射表!$A$2:$B$5, 2, 0), "")</f>
        <v/>
      </c>
    </row>
    <row r="76" spans="6:6" x14ac:dyDescent="0.15">
      <c r="F76" t="str">
        <f>IFERROR(VLOOKUP(E76, 映射表!$A$2:$B$5, 2, 0), "")</f>
        <v/>
      </c>
    </row>
    <row r="77" spans="6:6" x14ac:dyDescent="0.15">
      <c r="F77" t="str">
        <f>IFERROR(VLOOKUP(E77, 映射表!$A$2:$B$5, 2, 0), "")</f>
        <v/>
      </c>
    </row>
    <row r="78" spans="6:6" x14ac:dyDescent="0.15">
      <c r="F78" t="str">
        <f>IFERROR(VLOOKUP(E78, 映射表!$A$2:$B$5, 2, 0), "")</f>
        <v/>
      </c>
    </row>
    <row r="79" spans="6:6" x14ac:dyDescent="0.15">
      <c r="F79" t="str">
        <f>IFERROR(VLOOKUP(E79, 映射表!$A$2:$B$5, 2, 0), "")</f>
        <v/>
      </c>
    </row>
    <row r="80" spans="6:6" x14ac:dyDescent="0.15">
      <c r="F80" t="str">
        <f>IFERROR(VLOOKUP(E80, 映射表!$A$2:$B$5, 2, 0), "")</f>
        <v/>
      </c>
    </row>
    <row r="81" spans="6:6" x14ac:dyDescent="0.15">
      <c r="F81" t="str">
        <f>IFERROR(VLOOKUP(E81, 映射表!$A$2:$B$5, 2, 0), "")</f>
        <v/>
      </c>
    </row>
    <row r="82" spans="6:6" x14ac:dyDescent="0.15">
      <c r="F82" t="str">
        <f>IFERROR(VLOOKUP(E82, 映射表!$A$2:$B$5, 2, 0), "")</f>
        <v/>
      </c>
    </row>
    <row r="83" spans="6:6" x14ac:dyDescent="0.15">
      <c r="F83" t="str">
        <f>IFERROR(VLOOKUP(E83, 映射表!$A$2:$B$5, 2, 0), "")</f>
        <v/>
      </c>
    </row>
    <row r="84" spans="6:6" x14ac:dyDescent="0.15">
      <c r="F84" t="str">
        <f>IFERROR(VLOOKUP(E84, 映射表!$A$2:$B$5, 2, 0), "")</f>
        <v/>
      </c>
    </row>
    <row r="85" spans="6:6" x14ac:dyDescent="0.15">
      <c r="F85" t="str">
        <f>IFERROR(VLOOKUP(E85, 映射表!$A$2:$B$5, 2, 0), "")</f>
        <v/>
      </c>
    </row>
    <row r="86" spans="6:6" x14ac:dyDescent="0.15">
      <c r="F86" t="str">
        <f>IFERROR(VLOOKUP(E86, 映射表!$A$2:$B$5, 2, 0), "")</f>
        <v/>
      </c>
    </row>
    <row r="87" spans="6:6" x14ac:dyDescent="0.15">
      <c r="F87" t="str">
        <f>IFERROR(VLOOKUP(E87, 映射表!$A$2:$B$5, 2, 0), "")</f>
        <v/>
      </c>
    </row>
    <row r="88" spans="6:6" x14ac:dyDescent="0.15">
      <c r="F88" t="str">
        <f>IFERROR(VLOOKUP(E88, 映射表!$A$2:$B$5, 2, 0), "")</f>
        <v/>
      </c>
    </row>
    <row r="89" spans="6:6" x14ac:dyDescent="0.15">
      <c r="F89" t="str">
        <f>IFERROR(VLOOKUP(E89, 映射表!$A$2:$B$5, 2, 0), "")</f>
        <v/>
      </c>
    </row>
    <row r="90" spans="6:6" x14ac:dyDescent="0.15">
      <c r="F90" t="str">
        <f>IFERROR(VLOOKUP(E90, 映射表!$A$2:$B$5, 2, 0), "")</f>
        <v/>
      </c>
    </row>
    <row r="91" spans="6:6" x14ac:dyDescent="0.15">
      <c r="F91" t="str">
        <f>IFERROR(VLOOKUP(E91, 映射表!$A$2:$B$5, 2, 0), "")</f>
        <v/>
      </c>
    </row>
    <row r="92" spans="6:6" x14ac:dyDescent="0.15">
      <c r="F92" t="str">
        <f>IFERROR(VLOOKUP(E92, 映射表!$A$2:$B$5, 2, 0), "")</f>
        <v/>
      </c>
    </row>
    <row r="93" spans="6:6" x14ac:dyDescent="0.15">
      <c r="F93" t="str">
        <f>IFERROR(VLOOKUP(E93, 映射表!$A$2:$B$5, 2, 0), "")</f>
        <v/>
      </c>
    </row>
    <row r="94" spans="6:6" x14ac:dyDescent="0.15">
      <c r="F94" t="str">
        <f>IFERROR(VLOOKUP(E94, 映射表!$A$2:$B$5, 2, 0), "")</f>
        <v/>
      </c>
    </row>
    <row r="95" spans="6:6" x14ac:dyDescent="0.15">
      <c r="F95" t="str">
        <f>IFERROR(VLOOKUP(E95, 映射表!$A$2:$B$5, 2, 0), "")</f>
        <v/>
      </c>
    </row>
    <row r="96" spans="6:6" x14ac:dyDescent="0.15">
      <c r="F96" t="str">
        <f>IFERROR(VLOOKUP(E96, 映射表!$A$2:$B$5, 2, 0), "")</f>
        <v/>
      </c>
    </row>
    <row r="97" spans="6:6" x14ac:dyDescent="0.15">
      <c r="F97" t="str">
        <f>IFERROR(VLOOKUP(E97, 映射表!$A$2:$B$5, 2, 0), "")</f>
        <v/>
      </c>
    </row>
    <row r="98" spans="6:6" x14ac:dyDescent="0.15">
      <c r="F98" t="str">
        <f>IFERROR(VLOOKUP(E98, 映射表!$A$2:$B$5, 2, 0), "")</f>
        <v/>
      </c>
    </row>
    <row r="99" spans="6:6" x14ac:dyDescent="0.15">
      <c r="F99" t="str">
        <f>IFERROR(VLOOKUP(E99, 映射表!$A$2:$B$5, 2, 0), "")</f>
        <v/>
      </c>
    </row>
    <row r="100" spans="6:6" x14ac:dyDescent="0.15">
      <c r="F100" t="str">
        <f>IFERROR(VLOOKUP(E100, 映射表!$A$2:$B$5, 2, 0), "")</f>
        <v/>
      </c>
    </row>
    <row r="101" spans="6:6" x14ac:dyDescent="0.15">
      <c r="F101" t="str">
        <f>IFERROR(VLOOKUP(E101, 映射表!$A$2:$B$5, 2, 0), "")</f>
        <v/>
      </c>
    </row>
    <row r="102" spans="6:6" x14ac:dyDescent="0.15">
      <c r="F102" t="str">
        <f>IFERROR(VLOOKUP(E102, 映射表!$A$2:$B$5, 2, 0), "")</f>
        <v/>
      </c>
    </row>
    <row r="103" spans="6:6" x14ac:dyDescent="0.15">
      <c r="F103" t="str">
        <f>IFERROR(VLOOKUP(E103, 映射表!$A$2:$B$5, 2, 0), "")</f>
        <v/>
      </c>
    </row>
    <row r="104" spans="6:6" x14ac:dyDescent="0.15">
      <c r="F104" t="str">
        <f>IFERROR(VLOOKUP(E104, 映射表!$A$2:$B$5, 2, 0), "")</f>
        <v/>
      </c>
    </row>
    <row r="105" spans="6:6" x14ac:dyDescent="0.15">
      <c r="F105" t="str">
        <f>IFERROR(VLOOKUP(E105, 映射表!$A$2:$B$5, 2, 0), "")</f>
        <v/>
      </c>
    </row>
    <row r="106" spans="6:6" x14ac:dyDescent="0.15">
      <c r="F106" t="str">
        <f>IFERROR(VLOOKUP(E106, 映射表!$A$2:$B$5, 2, 0), "")</f>
        <v/>
      </c>
    </row>
    <row r="107" spans="6:6" x14ac:dyDescent="0.15">
      <c r="F107" t="str">
        <f>IFERROR(VLOOKUP(E107, 映射表!$A$2:$B$5, 2, 0), "")</f>
        <v/>
      </c>
    </row>
    <row r="108" spans="6:6" x14ac:dyDescent="0.15">
      <c r="F108" t="str">
        <f>IFERROR(VLOOKUP(E108, 映射表!$A$2:$B$5, 2, 0), "")</f>
        <v/>
      </c>
    </row>
    <row r="109" spans="6:6" x14ac:dyDescent="0.15">
      <c r="F109" t="str">
        <f>IFERROR(VLOOKUP(E109, 映射表!$A$2:$B$5, 2, 0), "")</f>
        <v/>
      </c>
    </row>
    <row r="110" spans="6:6" x14ac:dyDescent="0.15">
      <c r="F110" t="str">
        <f>IFERROR(VLOOKUP(E110, 映射表!$A$2:$B$5, 2, 0), "")</f>
        <v/>
      </c>
    </row>
    <row r="111" spans="6:6" x14ac:dyDescent="0.15">
      <c r="F111" t="str">
        <f>IFERROR(VLOOKUP(E111, 映射表!$A$2:$B$5, 2, 0), "")</f>
        <v/>
      </c>
    </row>
    <row r="112" spans="6:6" x14ac:dyDescent="0.15">
      <c r="F112" t="str">
        <f>IFERROR(VLOOKUP(E112, 映射表!$A$2:$B$5, 2, 0), "")</f>
        <v/>
      </c>
    </row>
    <row r="113" spans="6:6" x14ac:dyDescent="0.15">
      <c r="F113" t="str">
        <f>IFERROR(VLOOKUP(E113, 映射表!$A$2:$B$5, 2, 0), "")</f>
        <v/>
      </c>
    </row>
    <row r="114" spans="6:6" x14ac:dyDescent="0.15">
      <c r="F114" t="str">
        <f>IFERROR(VLOOKUP(E114, 映射表!$A$2:$B$5, 2, 0), "")</f>
        <v/>
      </c>
    </row>
    <row r="115" spans="6:6" x14ac:dyDescent="0.15">
      <c r="F115" t="str">
        <f>IFERROR(VLOOKUP(E115, 映射表!$A$2:$B$5, 2, 0), "")</f>
        <v/>
      </c>
    </row>
    <row r="116" spans="6:6" x14ac:dyDescent="0.15">
      <c r="F116" t="str">
        <f>IFERROR(VLOOKUP(E116, 映射表!$A$2:$B$5, 2, 0), "")</f>
        <v/>
      </c>
    </row>
    <row r="117" spans="6:6" x14ac:dyDescent="0.15">
      <c r="F117" t="str">
        <f>IFERROR(VLOOKUP(E117, 映射表!$A$2:$B$5, 2, 0), "")</f>
        <v/>
      </c>
    </row>
    <row r="118" spans="6:6" x14ac:dyDescent="0.15">
      <c r="F118" t="str">
        <f>IFERROR(VLOOKUP(E118, 映射表!$A$2:$B$5, 2, 0), "")</f>
        <v/>
      </c>
    </row>
    <row r="119" spans="6:6" x14ac:dyDescent="0.15">
      <c r="F119" t="str">
        <f>IFERROR(VLOOKUP(E119, 映射表!$A$2:$B$5, 2, 0), "")</f>
        <v/>
      </c>
    </row>
    <row r="120" spans="6:6" x14ac:dyDescent="0.15">
      <c r="F120" t="str">
        <f>IFERROR(VLOOKUP(E120, 映射表!$A$2:$B$5, 2, 0), "")</f>
        <v/>
      </c>
    </row>
    <row r="121" spans="6:6" x14ac:dyDescent="0.15">
      <c r="F121" t="str">
        <f>IFERROR(VLOOKUP(E121, 映射表!$A$2:$B$5, 2, 0), "")</f>
        <v/>
      </c>
    </row>
    <row r="122" spans="6:6" x14ac:dyDescent="0.15">
      <c r="F122" t="str">
        <f>IFERROR(VLOOKUP(E122, 映射表!$A$2:$B$5, 2, 0), "")</f>
        <v/>
      </c>
    </row>
    <row r="123" spans="6:6" x14ac:dyDescent="0.15">
      <c r="F123" t="str">
        <f>IFERROR(VLOOKUP(E123, 映射表!$A$2:$B$5, 2, 0), "")</f>
        <v/>
      </c>
    </row>
    <row r="124" spans="6:6" x14ac:dyDescent="0.15">
      <c r="F124" t="str">
        <f>IFERROR(VLOOKUP(E124, 映射表!$A$2:$B$5, 2, 0), "")</f>
        <v/>
      </c>
    </row>
    <row r="125" spans="6:6" x14ac:dyDescent="0.15">
      <c r="F125" t="str">
        <f>IFERROR(VLOOKUP(E125, 映射表!$A$2:$B$5, 2, 0), "")</f>
        <v/>
      </c>
    </row>
    <row r="126" spans="6:6" x14ac:dyDescent="0.15">
      <c r="F126" t="str">
        <f>IFERROR(VLOOKUP(E126, 映射表!$A$2:$B$5, 2, 0), "")</f>
        <v/>
      </c>
    </row>
    <row r="127" spans="6:6" x14ac:dyDescent="0.15">
      <c r="F127" t="str">
        <f>IFERROR(VLOOKUP(E127, 映射表!$A$2:$B$5, 2, 0), "")</f>
        <v/>
      </c>
    </row>
    <row r="128" spans="6:6" x14ac:dyDescent="0.15">
      <c r="F128" t="str">
        <f>IFERROR(VLOOKUP(E128, 映射表!$A$2:$B$5, 2, 0), "")</f>
        <v/>
      </c>
    </row>
    <row r="129" spans="6:6" x14ac:dyDescent="0.15">
      <c r="F129" t="str">
        <f>IFERROR(VLOOKUP(E129, 映射表!$A$2:$B$5, 2, 0), "")</f>
        <v/>
      </c>
    </row>
    <row r="130" spans="6:6" x14ac:dyDescent="0.15">
      <c r="F130" t="str">
        <f>IFERROR(VLOOKUP(E130, 映射表!$A$2:$B$5, 2, 0), "")</f>
        <v/>
      </c>
    </row>
    <row r="131" spans="6:6" x14ac:dyDescent="0.15">
      <c r="F131" t="str">
        <f>IFERROR(VLOOKUP(E131, 映射表!$A$2:$B$5, 2, 0), "")</f>
        <v/>
      </c>
    </row>
    <row r="132" spans="6:6" x14ac:dyDescent="0.15">
      <c r="F132" t="str">
        <f>IFERROR(VLOOKUP(E132, 映射表!$A$2:$B$5, 2, 0), "")</f>
        <v/>
      </c>
    </row>
    <row r="133" spans="6:6" x14ac:dyDescent="0.15">
      <c r="F133" t="str">
        <f>IFERROR(VLOOKUP(E133, 映射表!$A$2:$B$5, 2, 0), "")</f>
        <v/>
      </c>
    </row>
    <row r="134" spans="6:6" x14ac:dyDescent="0.15">
      <c r="F134" t="str">
        <f>IFERROR(VLOOKUP(E134, 映射表!$A$2:$B$5, 2, 0), "")</f>
        <v/>
      </c>
    </row>
    <row r="135" spans="6:6" x14ac:dyDescent="0.15">
      <c r="F135" t="str">
        <f>IFERROR(VLOOKUP(E135, 映射表!$A$2:$B$5, 2, 0), "")</f>
        <v/>
      </c>
    </row>
    <row r="136" spans="6:6" x14ac:dyDescent="0.15">
      <c r="F136" t="str">
        <f>IFERROR(VLOOKUP(E136, 映射表!$A$2:$B$5, 2, 0), "")</f>
        <v/>
      </c>
    </row>
    <row r="137" spans="6:6" x14ac:dyDescent="0.15">
      <c r="F137" t="str">
        <f>IFERROR(VLOOKUP(E137, 映射表!$A$2:$B$5, 2, 0), "")</f>
        <v/>
      </c>
    </row>
    <row r="138" spans="6:6" x14ac:dyDescent="0.15">
      <c r="F138" t="str">
        <f>IFERROR(VLOOKUP(E138, 映射表!$A$2:$B$5, 2, 0), "")</f>
        <v/>
      </c>
    </row>
    <row r="139" spans="6:6" x14ac:dyDescent="0.15">
      <c r="F139" t="str">
        <f>IFERROR(VLOOKUP(E139, 映射表!$A$2:$B$5, 2, 0), "")</f>
        <v/>
      </c>
    </row>
    <row r="140" spans="6:6" x14ac:dyDescent="0.15">
      <c r="F140" t="str">
        <f>IFERROR(VLOOKUP(E140, 映射表!$A$2:$B$5, 2, 0), "")</f>
        <v/>
      </c>
    </row>
    <row r="141" spans="6:6" x14ac:dyDescent="0.15">
      <c r="F141" t="str">
        <f>IFERROR(VLOOKUP(E141, 映射表!$A$2:$B$5, 2, 0), "")</f>
        <v/>
      </c>
    </row>
    <row r="142" spans="6:6" x14ac:dyDescent="0.15">
      <c r="F142" t="str">
        <f>IFERROR(VLOOKUP(E142, 映射表!$A$2:$B$5, 2, 0), "")</f>
        <v/>
      </c>
    </row>
    <row r="143" spans="6:6" x14ac:dyDescent="0.15">
      <c r="F143" t="str">
        <f>IFERROR(VLOOKUP(E143, 映射表!$A$2:$B$5, 2, 0), "")</f>
        <v/>
      </c>
    </row>
    <row r="144" spans="6:6" x14ac:dyDescent="0.15">
      <c r="F144" t="str">
        <f>IFERROR(VLOOKUP(E144, 映射表!$A$2:$B$5, 2, 0), "")</f>
        <v/>
      </c>
    </row>
    <row r="145" spans="6:6" x14ac:dyDescent="0.15">
      <c r="F145" t="str">
        <f>IFERROR(VLOOKUP(E145, 映射表!$A$2:$B$5, 2, 0), "")</f>
        <v/>
      </c>
    </row>
    <row r="146" spans="6:6" x14ac:dyDescent="0.15">
      <c r="F146" t="str">
        <f>IFERROR(VLOOKUP(E146, 映射表!$A$2:$B$5, 2, 0), "")</f>
        <v/>
      </c>
    </row>
    <row r="147" spans="6:6" x14ac:dyDescent="0.15">
      <c r="F147" t="str">
        <f>IFERROR(VLOOKUP(E147, 映射表!$A$2:$B$5, 2, 0), "")</f>
        <v/>
      </c>
    </row>
    <row r="148" spans="6:6" x14ac:dyDescent="0.15">
      <c r="F148" t="str">
        <f>IFERROR(VLOOKUP(E148, 映射表!$A$2:$B$5, 2, 0), "")</f>
        <v/>
      </c>
    </row>
    <row r="149" spans="6:6" x14ac:dyDescent="0.15">
      <c r="F149" t="str">
        <f>IFERROR(VLOOKUP(E149, 映射表!$A$2:$B$5, 2, 0), "")</f>
        <v/>
      </c>
    </row>
    <row r="150" spans="6:6" x14ac:dyDescent="0.15">
      <c r="F150" t="str">
        <f>IFERROR(VLOOKUP(E150, 映射表!$A$2:$B$5, 2, 0), "")</f>
        <v/>
      </c>
    </row>
    <row r="151" spans="6:6" x14ac:dyDescent="0.15">
      <c r="F151" t="str">
        <f>IFERROR(VLOOKUP(E151, 映射表!$A$2:$B$5, 2, 0), "")</f>
        <v/>
      </c>
    </row>
    <row r="152" spans="6:6" x14ac:dyDescent="0.15">
      <c r="F152" t="str">
        <f>IFERROR(VLOOKUP(E152, 映射表!$A$2:$B$5, 2, 0), "")</f>
        <v/>
      </c>
    </row>
    <row r="153" spans="6:6" x14ac:dyDescent="0.15">
      <c r="F153" t="str">
        <f>IFERROR(VLOOKUP(E153, 映射表!$A$2:$B$5, 2, 0), "")</f>
        <v/>
      </c>
    </row>
    <row r="154" spans="6:6" x14ac:dyDescent="0.15">
      <c r="F154" t="str">
        <f>IFERROR(VLOOKUP(E154, 映射表!$A$2:$B$5, 2, 0), "")</f>
        <v/>
      </c>
    </row>
    <row r="155" spans="6:6" x14ac:dyDescent="0.15">
      <c r="F155" t="str">
        <f>IFERROR(VLOOKUP(E155, 映射表!$A$2:$B$5, 2, 0), "")</f>
        <v/>
      </c>
    </row>
    <row r="156" spans="6:6" x14ac:dyDescent="0.15">
      <c r="F156" t="str">
        <f>IFERROR(VLOOKUP(E156, 映射表!$A$2:$B$5, 2, 0), "")</f>
        <v/>
      </c>
    </row>
    <row r="157" spans="6:6" x14ac:dyDescent="0.15">
      <c r="F157" t="str">
        <f>IFERROR(VLOOKUP(E157, 映射表!$A$2:$B$5, 2, 0), "")</f>
        <v/>
      </c>
    </row>
    <row r="158" spans="6:6" x14ac:dyDescent="0.15">
      <c r="F158" t="str">
        <f>IFERROR(VLOOKUP(E158, 映射表!$A$2:$B$5, 2, 0), "")</f>
        <v/>
      </c>
    </row>
    <row r="159" spans="6:6" x14ac:dyDescent="0.15">
      <c r="F159" t="str">
        <f>IFERROR(VLOOKUP(E159, 映射表!$A$2:$B$5, 2, 0), "")</f>
        <v/>
      </c>
    </row>
    <row r="160" spans="6:6" x14ac:dyDescent="0.15">
      <c r="F160" t="str">
        <f>IFERROR(VLOOKUP(E160, 映射表!$A$2:$B$5, 2, 0), "")</f>
        <v/>
      </c>
    </row>
    <row r="161" spans="6:6" x14ac:dyDescent="0.15">
      <c r="F161" t="str">
        <f>IFERROR(VLOOKUP(E161, 映射表!$A$2:$B$5, 2, 0), "")</f>
        <v/>
      </c>
    </row>
    <row r="162" spans="6:6" x14ac:dyDescent="0.15">
      <c r="F162" t="str">
        <f>IFERROR(VLOOKUP(E162, 映射表!$A$2:$B$5, 2, 0), "")</f>
        <v/>
      </c>
    </row>
    <row r="163" spans="6:6" x14ac:dyDescent="0.15">
      <c r="F163" t="str">
        <f>IFERROR(VLOOKUP(E163, 映射表!$A$2:$B$5, 2, 0), "")</f>
        <v/>
      </c>
    </row>
    <row r="164" spans="6:6" x14ac:dyDescent="0.15">
      <c r="F164" t="str">
        <f>IFERROR(VLOOKUP(E164, 映射表!$A$2:$B$5, 2, 0), "")</f>
        <v/>
      </c>
    </row>
    <row r="165" spans="6:6" x14ac:dyDescent="0.15">
      <c r="F165" t="str">
        <f>IFERROR(VLOOKUP(E165, 映射表!$A$2:$B$5, 2, 0), "")</f>
        <v/>
      </c>
    </row>
    <row r="166" spans="6:6" x14ac:dyDescent="0.15">
      <c r="F166" t="str">
        <f>IFERROR(VLOOKUP(E166, 映射表!$A$2:$B$5, 2, 0), "")</f>
        <v/>
      </c>
    </row>
    <row r="167" spans="6:6" x14ac:dyDescent="0.15">
      <c r="F167" t="str">
        <f>IFERROR(VLOOKUP(E167, 映射表!$A$2:$B$5, 2, 0), "")</f>
        <v/>
      </c>
    </row>
    <row r="168" spans="6:6" x14ac:dyDescent="0.15">
      <c r="F168" t="str">
        <f>IFERROR(VLOOKUP(E168, 映射表!$A$2:$B$5, 2, 0), "")</f>
        <v/>
      </c>
    </row>
    <row r="169" spans="6:6" x14ac:dyDescent="0.15">
      <c r="F169" t="str">
        <f>IFERROR(VLOOKUP(E169, 映射表!$A$2:$B$5, 2, 0), "")</f>
        <v/>
      </c>
    </row>
    <row r="170" spans="6:6" x14ac:dyDescent="0.15">
      <c r="F170" t="str">
        <f>IFERROR(VLOOKUP(E170, 映射表!$A$2:$B$5, 2, 0), "")</f>
        <v/>
      </c>
    </row>
    <row r="171" spans="6:6" x14ac:dyDescent="0.15">
      <c r="F171" t="str">
        <f>IFERROR(VLOOKUP(E171, 映射表!$A$2:$B$5, 2, 0), "")</f>
        <v/>
      </c>
    </row>
    <row r="172" spans="6:6" x14ac:dyDescent="0.15">
      <c r="F172" t="str">
        <f>IFERROR(VLOOKUP(E172, 映射表!$A$2:$B$5, 2, 0), "")</f>
        <v/>
      </c>
    </row>
    <row r="173" spans="6:6" x14ac:dyDescent="0.15">
      <c r="F173" t="str">
        <f>IFERROR(VLOOKUP(E173, 映射表!$A$2:$B$5, 2, 0), "")</f>
        <v/>
      </c>
    </row>
    <row r="174" spans="6:6" x14ac:dyDescent="0.15">
      <c r="F174" t="str">
        <f>IFERROR(VLOOKUP(E174, 映射表!$A$2:$B$5, 2, 0), "")</f>
        <v/>
      </c>
    </row>
    <row r="175" spans="6:6" x14ac:dyDescent="0.15">
      <c r="F175" t="str">
        <f>IFERROR(VLOOKUP(E175, 映射表!$A$2:$B$5, 2, 0), "")</f>
        <v/>
      </c>
    </row>
    <row r="176" spans="6:6" x14ac:dyDescent="0.15">
      <c r="F176" t="str">
        <f>IFERROR(VLOOKUP(E176, 映射表!$A$2:$B$5, 2, 0), "")</f>
        <v/>
      </c>
    </row>
    <row r="177" spans="6:6" x14ac:dyDescent="0.15">
      <c r="F177" t="str">
        <f>IFERROR(VLOOKUP(E177, 映射表!$A$2:$B$5, 2, 0), "")</f>
        <v/>
      </c>
    </row>
    <row r="178" spans="6:6" x14ac:dyDescent="0.15">
      <c r="F178" t="str">
        <f>IFERROR(VLOOKUP(E178, 映射表!$A$2:$B$5, 2, 0), "")</f>
        <v/>
      </c>
    </row>
    <row r="179" spans="6:6" x14ac:dyDescent="0.15">
      <c r="F179" t="str">
        <f>IFERROR(VLOOKUP(E179, 映射表!$A$2:$B$5, 2, 0), "")</f>
        <v/>
      </c>
    </row>
    <row r="180" spans="6:6" x14ac:dyDescent="0.15">
      <c r="F180" t="str">
        <f>IFERROR(VLOOKUP(E180, 映射表!$A$2:$B$5, 2, 0), "")</f>
        <v/>
      </c>
    </row>
    <row r="181" spans="6:6" x14ac:dyDescent="0.15">
      <c r="F181" t="str">
        <f>IFERROR(VLOOKUP(E181, 映射表!$A$2:$B$5, 2, 0), "")</f>
        <v/>
      </c>
    </row>
    <row r="182" spans="6:6" x14ac:dyDescent="0.15">
      <c r="F182" t="str">
        <f>IFERROR(VLOOKUP(E182, 映射表!$A$2:$B$5, 2, 0), "")</f>
        <v/>
      </c>
    </row>
    <row r="183" spans="6:6" x14ac:dyDescent="0.15">
      <c r="F183" t="str">
        <f>IFERROR(VLOOKUP(E183, 映射表!$A$2:$B$5, 2, 0), "")</f>
        <v/>
      </c>
    </row>
    <row r="184" spans="6:6" x14ac:dyDescent="0.15">
      <c r="F184" t="str">
        <f>IFERROR(VLOOKUP(E184, 映射表!$A$2:$B$5, 2, 0), "")</f>
        <v/>
      </c>
    </row>
    <row r="185" spans="6:6" x14ac:dyDescent="0.15">
      <c r="F185" t="str">
        <f>IFERROR(VLOOKUP(E185, 映射表!$A$2:$B$5, 2, 0), "")</f>
        <v/>
      </c>
    </row>
    <row r="186" spans="6:6" x14ac:dyDescent="0.15">
      <c r="F186" t="str">
        <f>IFERROR(VLOOKUP(E186, 映射表!$A$2:$B$5, 2, 0), "")</f>
        <v/>
      </c>
    </row>
    <row r="187" spans="6:6" x14ac:dyDescent="0.15">
      <c r="F187" t="str">
        <f>IFERROR(VLOOKUP(E187, 映射表!$A$2:$B$5, 2, 0), "")</f>
        <v/>
      </c>
    </row>
    <row r="188" spans="6:6" x14ac:dyDescent="0.15">
      <c r="F188" t="str">
        <f>IFERROR(VLOOKUP(E188, 映射表!$A$2:$B$5, 2, 0), "")</f>
        <v/>
      </c>
    </row>
    <row r="189" spans="6:6" x14ac:dyDescent="0.15">
      <c r="F189" t="str">
        <f>IFERROR(VLOOKUP(E189, 映射表!$A$2:$B$5, 2, 0), "")</f>
        <v/>
      </c>
    </row>
    <row r="190" spans="6:6" x14ac:dyDescent="0.15">
      <c r="F190" t="str">
        <f>IFERROR(VLOOKUP(E190, 映射表!$A$2:$B$5, 2, 0), "")</f>
        <v/>
      </c>
    </row>
    <row r="191" spans="6:6" x14ac:dyDescent="0.15">
      <c r="F191" t="str">
        <f>IFERROR(VLOOKUP(E191, 映射表!$A$2:$B$5, 2, 0), "")</f>
        <v/>
      </c>
    </row>
    <row r="192" spans="6:6" x14ac:dyDescent="0.15">
      <c r="F192" t="str">
        <f>IFERROR(VLOOKUP(E192, 映射表!$A$2:$B$5, 2, 0), "")</f>
        <v/>
      </c>
    </row>
    <row r="193" spans="6:6" x14ac:dyDescent="0.15">
      <c r="F193" t="str">
        <f>IFERROR(VLOOKUP(E193, 映射表!$A$2:$B$5, 2, 0), "")</f>
        <v/>
      </c>
    </row>
    <row r="194" spans="6:6" x14ac:dyDescent="0.15">
      <c r="F194" t="str">
        <f>IFERROR(VLOOKUP(E194, 映射表!$A$2:$B$5, 2, 0), "")</f>
        <v/>
      </c>
    </row>
    <row r="195" spans="6:6" x14ac:dyDescent="0.15">
      <c r="F195" t="str">
        <f>IFERROR(VLOOKUP(E195, 映射表!$A$2:$B$5, 2, 0), "")</f>
        <v/>
      </c>
    </row>
    <row r="196" spans="6:6" x14ac:dyDescent="0.15">
      <c r="F196" t="str">
        <f>IFERROR(VLOOKUP(E196, 映射表!$A$2:$B$5, 2, 0), "")</f>
        <v/>
      </c>
    </row>
    <row r="197" spans="6:6" x14ac:dyDescent="0.15">
      <c r="F197" t="str">
        <f>IFERROR(VLOOKUP(E197, 映射表!$A$2:$B$5, 2, 0), "")</f>
        <v/>
      </c>
    </row>
    <row r="198" spans="6:6" x14ac:dyDescent="0.15">
      <c r="F198" t="str">
        <f>IFERROR(VLOOKUP(E198, 映射表!$A$2:$B$5, 2, 0), "")</f>
        <v/>
      </c>
    </row>
    <row r="199" spans="6:6" x14ac:dyDescent="0.15">
      <c r="F199" t="str">
        <f>IFERROR(VLOOKUP(E199, 映射表!$A$2:$B$5, 2, 0), "")</f>
        <v/>
      </c>
    </row>
    <row r="200" spans="6:6" x14ac:dyDescent="0.15">
      <c r="F200" t="str">
        <f>IFERROR(VLOOKUP(E200, 映射表!$A$2:$B$5, 2, 0), "")</f>
        <v/>
      </c>
    </row>
    <row r="201" spans="6:6" x14ac:dyDescent="0.15">
      <c r="F201" t="str">
        <f>IFERROR(VLOOKUP(E201, 映射表!$A$2:$B$5, 2, 0), "")</f>
        <v/>
      </c>
    </row>
    <row r="202" spans="6:6" x14ac:dyDescent="0.15">
      <c r="F202" t="str">
        <f>IFERROR(VLOOKUP(E202, 映射表!$A$2:$B$5, 2, 0), "")</f>
        <v/>
      </c>
    </row>
    <row r="203" spans="6:6" x14ac:dyDescent="0.15">
      <c r="F203" t="str">
        <f>IFERROR(VLOOKUP(E203, 映射表!$A$2:$B$5, 2, 0), "")</f>
        <v/>
      </c>
    </row>
    <row r="204" spans="6:6" x14ac:dyDescent="0.15">
      <c r="F204" t="str">
        <f>IFERROR(VLOOKUP(E204, 映射表!$A$2:$B$5, 2, 0), "")</f>
        <v/>
      </c>
    </row>
    <row r="205" spans="6:6" x14ac:dyDescent="0.15">
      <c r="F205" t="str">
        <f>IFERROR(VLOOKUP(E205, 映射表!$A$2:$B$5, 2, 0), "")</f>
        <v/>
      </c>
    </row>
    <row r="206" spans="6:6" x14ac:dyDescent="0.15">
      <c r="F206" t="str">
        <f>IFERROR(VLOOKUP(E206, 映射表!$A$2:$B$5, 2, 0), "")</f>
        <v/>
      </c>
    </row>
    <row r="207" spans="6:6" x14ac:dyDescent="0.15">
      <c r="F207" t="str">
        <f>IFERROR(VLOOKUP(E207, 映射表!$A$2:$B$5, 2, 0), "")</f>
        <v/>
      </c>
    </row>
    <row r="208" spans="6:6" x14ac:dyDescent="0.15">
      <c r="F208" t="str">
        <f>IFERROR(VLOOKUP(E208, 映射表!$A$2:$B$5, 2, 0), "")</f>
        <v/>
      </c>
    </row>
    <row r="209" spans="6:6" x14ac:dyDescent="0.15">
      <c r="F209" t="str">
        <f>IFERROR(VLOOKUP(E209, 映射表!$A$2:$B$5, 2, 0), "")</f>
        <v/>
      </c>
    </row>
    <row r="210" spans="6:6" x14ac:dyDescent="0.15">
      <c r="F210" t="str">
        <f>IFERROR(VLOOKUP(E210, 映射表!$A$2:$B$5, 2, 0), "")</f>
        <v/>
      </c>
    </row>
    <row r="211" spans="6:6" x14ac:dyDescent="0.15">
      <c r="F211" t="str">
        <f>IFERROR(VLOOKUP(E211, 映射表!$A$2:$B$5, 2, 0), "")</f>
        <v/>
      </c>
    </row>
    <row r="212" spans="6:6" x14ac:dyDescent="0.15">
      <c r="F212" t="str">
        <f>IFERROR(VLOOKUP(E212, 映射表!$A$2:$B$5, 2, 0), "")</f>
        <v/>
      </c>
    </row>
    <row r="213" spans="6:6" x14ac:dyDescent="0.15">
      <c r="F213" t="str">
        <f>IFERROR(VLOOKUP(E213, 映射表!$A$2:$B$5, 2, 0), "")</f>
        <v/>
      </c>
    </row>
    <row r="214" spans="6:6" x14ac:dyDescent="0.15">
      <c r="F214" t="str">
        <f>IFERROR(VLOOKUP(E214, 映射表!$A$2:$B$5, 2, 0), "")</f>
        <v/>
      </c>
    </row>
    <row r="215" spans="6:6" x14ac:dyDescent="0.15">
      <c r="F215" t="str">
        <f>IFERROR(VLOOKUP(E215, 映射表!$A$2:$B$5, 2, 0), "")</f>
        <v/>
      </c>
    </row>
    <row r="216" spans="6:6" x14ac:dyDescent="0.15">
      <c r="F216" t="str">
        <f>IFERROR(VLOOKUP(E216, 映射表!$A$2:$B$5, 2, 0), "")</f>
        <v/>
      </c>
    </row>
    <row r="217" spans="6:6" x14ac:dyDescent="0.15">
      <c r="F217" t="str">
        <f>IFERROR(VLOOKUP(E217, 映射表!$A$2:$B$5, 2, 0), "")</f>
        <v/>
      </c>
    </row>
    <row r="218" spans="6:6" x14ac:dyDescent="0.15">
      <c r="F218" t="str">
        <f>IFERROR(VLOOKUP(E218, 映射表!$A$2:$B$5, 2, 0), "")</f>
        <v/>
      </c>
    </row>
    <row r="219" spans="6:6" x14ac:dyDescent="0.15">
      <c r="F219" t="str">
        <f>IFERROR(VLOOKUP(E219, 映射表!$A$2:$B$5, 2, 0), "")</f>
        <v/>
      </c>
    </row>
    <row r="220" spans="6:6" x14ac:dyDescent="0.15">
      <c r="F220" t="str">
        <f>IFERROR(VLOOKUP(E220, 映射表!$A$2:$B$5, 2, 0), "")</f>
        <v/>
      </c>
    </row>
    <row r="221" spans="6:6" x14ac:dyDescent="0.15">
      <c r="F221" t="str">
        <f>IFERROR(VLOOKUP(E221, 映射表!$A$2:$B$5, 2, 0), "")</f>
        <v/>
      </c>
    </row>
    <row r="222" spans="6:6" x14ac:dyDescent="0.15">
      <c r="F222" t="str">
        <f>IFERROR(VLOOKUP(E222, 映射表!$A$2:$B$5, 2, 0), "")</f>
        <v/>
      </c>
    </row>
    <row r="223" spans="6:6" x14ac:dyDescent="0.15">
      <c r="F223" t="str">
        <f>IFERROR(VLOOKUP(E223, 映射表!$A$2:$B$5, 2, 0), "")</f>
        <v/>
      </c>
    </row>
    <row r="224" spans="6:6" x14ac:dyDescent="0.15">
      <c r="F224" t="str">
        <f>IFERROR(VLOOKUP(E224, 映射表!$A$2:$B$5, 2, 0), "")</f>
        <v/>
      </c>
    </row>
    <row r="225" spans="6:6" x14ac:dyDescent="0.15">
      <c r="F225" t="str">
        <f>IFERROR(VLOOKUP(E225, 映射表!$A$2:$B$5, 2, 0), "")</f>
        <v/>
      </c>
    </row>
    <row r="226" spans="6:6" x14ac:dyDescent="0.15">
      <c r="F226" t="str">
        <f>IFERROR(VLOOKUP(E226, 映射表!$A$2:$B$5, 2, 0), "")</f>
        <v/>
      </c>
    </row>
    <row r="227" spans="6:6" x14ac:dyDescent="0.15">
      <c r="F227" t="str">
        <f>IFERROR(VLOOKUP(E227, 映射表!$A$2:$B$5, 2, 0), "")</f>
        <v/>
      </c>
    </row>
    <row r="228" spans="6:6" x14ac:dyDescent="0.15">
      <c r="F228" t="str">
        <f>IFERROR(VLOOKUP(E228, 映射表!$A$2:$B$5, 2, 0), "")</f>
        <v/>
      </c>
    </row>
    <row r="229" spans="6:6" x14ac:dyDescent="0.15">
      <c r="F229" t="str">
        <f>IFERROR(VLOOKUP(E229, 映射表!$A$2:$B$5, 2, 0), "")</f>
        <v/>
      </c>
    </row>
    <row r="230" spans="6:6" x14ac:dyDescent="0.15">
      <c r="F230" t="str">
        <f>IFERROR(VLOOKUP(E230, 映射表!$A$2:$B$5, 2, 0), "")</f>
        <v/>
      </c>
    </row>
    <row r="231" spans="6:6" x14ac:dyDescent="0.15">
      <c r="F231" t="str">
        <f>IFERROR(VLOOKUP(E231, 映射表!$A$2:$B$5, 2, 0), "")</f>
        <v/>
      </c>
    </row>
    <row r="232" spans="6:6" x14ac:dyDescent="0.15">
      <c r="F232" t="str">
        <f>IFERROR(VLOOKUP(E232, 映射表!$A$2:$B$5, 2, 0), "")</f>
        <v/>
      </c>
    </row>
    <row r="233" spans="6:6" x14ac:dyDescent="0.15">
      <c r="F233" t="str">
        <f>IFERROR(VLOOKUP(E233, 映射表!$A$2:$B$5, 2, 0), "")</f>
        <v/>
      </c>
    </row>
    <row r="234" spans="6:6" x14ac:dyDescent="0.15">
      <c r="F234" t="str">
        <f>IFERROR(VLOOKUP(E234, 映射表!$A$2:$B$5, 2, 0), "")</f>
        <v/>
      </c>
    </row>
    <row r="235" spans="6:6" x14ac:dyDescent="0.15">
      <c r="F235" t="str">
        <f>IFERROR(VLOOKUP(E235, 映射表!$A$2:$B$5, 2, 0), "")</f>
        <v/>
      </c>
    </row>
    <row r="236" spans="6:6" x14ac:dyDescent="0.15">
      <c r="F236" t="str">
        <f>IFERROR(VLOOKUP(E236, 映射表!$A$2:$B$5, 2, 0), "")</f>
        <v/>
      </c>
    </row>
    <row r="237" spans="6:6" x14ac:dyDescent="0.15">
      <c r="F237" t="str">
        <f>IFERROR(VLOOKUP(E237, 映射表!$A$2:$B$5, 2, 0), "")</f>
        <v/>
      </c>
    </row>
    <row r="238" spans="6:6" x14ac:dyDescent="0.15">
      <c r="F238" t="str">
        <f>IFERROR(VLOOKUP(E238, 映射表!$A$2:$B$5, 2, 0), "")</f>
        <v/>
      </c>
    </row>
    <row r="239" spans="6:6" x14ac:dyDescent="0.15">
      <c r="F239" t="str">
        <f>IFERROR(VLOOKUP(E239, 映射表!$A$2:$B$5, 2, 0), "")</f>
        <v/>
      </c>
    </row>
    <row r="240" spans="6:6" x14ac:dyDescent="0.15">
      <c r="F240" t="str">
        <f>IFERROR(VLOOKUP(E240, 映射表!$A$2:$B$5, 2, 0), "")</f>
        <v/>
      </c>
    </row>
    <row r="241" spans="6:6" x14ac:dyDescent="0.15">
      <c r="F241" t="str">
        <f>IFERROR(VLOOKUP(E241, 映射表!$A$2:$B$5, 2, 0), "")</f>
        <v/>
      </c>
    </row>
    <row r="242" spans="6:6" x14ac:dyDescent="0.15">
      <c r="F242" t="str">
        <f>IFERROR(VLOOKUP(E242, 映射表!$A$2:$B$5, 2, 0), "")</f>
        <v/>
      </c>
    </row>
    <row r="243" spans="6:6" x14ac:dyDescent="0.15">
      <c r="F243" t="str">
        <f>IFERROR(VLOOKUP(E243, 映射表!$A$2:$B$5, 2, 0), "")</f>
        <v/>
      </c>
    </row>
    <row r="244" spans="6:6" x14ac:dyDescent="0.15">
      <c r="F244" t="str">
        <f>IFERROR(VLOOKUP(E244, 映射表!$A$2:$B$5, 2, 0), "")</f>
        <v/>
      </c>
    </row>
    <row r="245" spans="6:6" x14ac:dyDescent="0.15">
      <c r="F245" t="str">
        <f>IFERROR(VLOOKUP(E245, 映射表!$A$2:$B$5, 2, 0), "")</f>
        <v/>
      </c>
    </row>
    <row r="246" spans="6:6" x14ac:dyDescent="0.15">
      <c r="F246" t="str">
        <f>IFERROR(VLOOKUP(E246, 映射表!$A$2:$B$5, 2, 0), "")</f>
        <v/>
      </c>
    </row>
    <row r="247" spans="6:6" x14ac:dyDescent="0.15">
      <c r="F247" t="str">
        <f>IFERROR(VLOOKUP(E247, 映射表!$A$2:$B$5, 2, 0), "")</f>
        <v/>
      </c>
    </row>
    <row r="248" spans="6:6" x14ac:dyDescent="0.15">
      <c r="F248" t="str">
        <f>IFERROR(VLOOKUP(E248, 映射表!$A$2:$B$5, 2, 0), "")</f>
        <v/>
      </c>
    </row>
    <row r="249" spans="6:6" x14ac:dyDescent="0.15">
      <c r="F249" t="str">
        <f>IFERROR(VLOOKUP(E249, 映射表!$A$2:$B$5, 2, 0), "")</f>
        <v/>
      </c>
    </row>
    <row r="250" spans="6:6" x14ac:dyDescent="0.15">
      <c r="F250" t="str">
        <f>IFERROR(VLOOKUP(E250, 映射表!$A$2:$B$5, 2, 0), "")</f>
        <v/>
      </c>
    </row>
    <row r="251" spans="6:6" x14ac:dyDescent="0.15">
      <c r="F251" t="str">
        <f>IFERROR(VLOOKUP(E251, 映射表!$A$2:$B$5, 2, 0), "")</f>
        <v/>
      </c>
    </row>
    <row r="252" spans="6:6" x14ac:dyDescent="0.15">
      <c r="F252" t="str">
        <f>IFERROR(VLOOKUP(E252, 映射表!$A$2:$B$5, 2, 0), "")</f>
        <v/>
      </c>
    </row>
    <row r="253" spans="6:6" x14ac:dyDescent="0.15">
      <c r="F253" t="str">
        <f>IFERROR(VLOOKUP(E253, 映射表!$A$2:$B$5, 2, 0), "")</f>
        <v/>
      </c>
    </row>
    <row r="254" spans="6:6" x14ac:dyDescent="0.15">
      <c r="F254" t="str">
        <f>IFERROR(VLOOKUP(E254, 映射表!$A$2:$B$5, 2, 0), "")</f>
        <v/>
      </c>
    </row>
    <row r="255" spans="6:6" x14ac:dyDescent="0.15">
      <c r="F255" t="str">
        <f>IFERROR(VLOOKUP(E255, 映射表!$A$2:$B$5, 2, 0), "")</f>
        <v/>
      </c>
    </row>
    <row r="256" spans="6:6" x14ac:dyDescent="0.15">
      <c r="F256" t="str">
        <f>IFERROR(VLOOKUP(E256, 映射表!$A$2:$B$5, 2, 0), "")</f>
        <v/>
      </c>
    </row>
    <row r="257" spans="6:6" x14ac:dyDescent="0.15">
      <c r="F257" t="str">
        <f>IFERROR(VLOOKUP(E257, 映射表!$A$2:$B$5, 2, 0), "")</f>
        <v/>
      </c>
    </row>
    <row r="258" spans="6:6" x14ac:dyDescent="0.15">
      <c r="F258" t="str">
        <f>IFERROR(VLOOKUP(E258, 映射表!$A$2:$B$5, 2, 0), "")</f>
        <v/>
      </c>
    </row>
    <row r="259" spans="6:6" x14ac:dyDescent="0.15">
      <c r="F259" t="str">
        <f>IFERROR(VLOOKUP(E259, 映射表!$A$2:$B$5, 2, 0), "")</f>
        <v/>
      </c>
    </row>
    <row r="260" spans="6:6" x14ac:dyDescent="0.15">
      <c r="F260" t="str">
        <f>IFERROR(VLOOKUP(E260, 映射表!$A$2:$B$5, 2, 0), "")</f>
        <v/>
      </c>
    </row>
    <row r="261" spans="6:6" x14ac:dyDescent="0.15">
      <c r="F261" t="str">
        <f>IFERROR(VLOOKUP(E261, 映射表!$A$2:$B$5, 2, 0), "")</f>
        <v/>
      </c>
    </row>
    <row r="262" spans="6:6" x14ac:dyDescent="0.15">
      <c r="F262" t="str">
        <f>IFERROR(VLOOKUP(E262, 映射表!$A$2:$B$5, 2, 0), "")</f>
        <v/>
      </c>
    </row>
    <row r="263" spans="6:6" x14ac:dyDescent="0.15">
      <c r="F263" t="str">
        <f>IFERROR(VLOOKUP(E263, 映射表!$A$2:$B$5, 2, 0), "")</f>
        <v/>
      </c>
    </row>
    <row r="264" spans="6:6" x14ac:dyDescent="0.15">
      <c r="F264" t="str">
        <f>IFERROR(VLOOKUP(E264, 映射表!$A$2:$B$5, 2, 0), "")</f>
        <v/>
      </c>
    </row>
    <row r="265" spans="6:6" x14ac:dyDescent="0.15">
      <c r="F265" t="str">
        <f>IFERROR(VLOOKUP(E265, 映射表!$A$2:$B$5, 2, 0), "")</f>
        <v/>
      </c>
    </row>
    <row r="266" spans="6:6" x14ac:dyDescent="0.15">
      <c r="F266" t="str">
        <f>IFERROR(VLOOKUP(E266, 映射表!$A$2:$B$5, 2, 0), "")</f>
        <v/>
      </c>
    </row>
    <row r="267" spans="6:6" x14ac:dyDescent="0.15">
      <c r="F267" t="str">
        <f>IFERROR(VLOOKUP(E267, 映射表!$A$2:$B$5, 2, 0), "")</f>
        <v/>
      </c>
    </row>
    <row r="268" spans="6:6" x14ac:dyDescent="0.15">
      <c r="F268" t="str">
        <f>IFERROR(VLOOKUP(E268, 映射表!$A$2:$B$5, 2, 0), "")</f>
        <v/>
      </c>
    </row>
    <row r="269" spans="6:6" x14ac:dyDescent="0.15">
      <c r="F269" t="str">
        <f>IFERROR(VLOOKUP(E269, 映射表!$A$2:$B$5, 2, 0), "")</f>
        <v/>
      </c>
    </row>
    <row r="270" spans="6:6" x14ac:dyDescent="0.15">
      <c r="F270" t="str">
        <f>IFERROR(VLOOKUP(E270, 映射表!$A$2:$B$5, 2, 0), "")</f>
        <v/>
      </c>
    </row>
    <row r="271" spans="6:6" x14ac:dyDescent="0.15">
      <c r="F271" t="str">
        <f>IFERROR(VLOOKUP(E271, 映射表!$A$2:$B$5, 2, 0), "")</f>
        <v/>
      </c>
    </row>
    <row r="272" spans="6:6" x14ac:dyDescent="0.15">
      <c r="F272" t="str">
        <f>IFERROR(VLOOKUP(E272, 映射表!$A$2:$B$5, 2, 0), "")</f>
        <v/>
      </c>
    </row>
    <row r="273" spans="6:6" x14ac:dyDescent="0.15">
      <c r="F273" t="str">
        <f>IFERROR(VLOOKUP(E273, 映射表!$A$2:$B$5, 2, 0), "")</f>
        <v/>
      </c>
    </row>
    <row r="274" spans="6:6" x14ac:dyDescent="0.15">
      <c r="F274" t="str">
        <f>IFERROR(VLOOKUP(E274, 映射表!$A$2:$B$5, 2, 0), "")</f>
        <v/>
      </c>
    </row>
    <row r="275" spans="6:6" x14ac:dyDescent="0.15">
      <c r="F275" t="str">
        <f>IFERROR(VLOOKUP(E275, 映射表!$A$2:$B$5, 2, 0), "")</f>
        <v/>
      </c>
    </row>
    <row r="276" spans="6:6" x14ac:dyDescent="0.15">
      <c r="F276" t="str">
        <f>IFERROR(VLOOKUP(E276, 映射表!$A$2:$B$5, 2, 0), "")</f>
        <v/>
      </c>
    </row>
    <row r="277" spans="6:6" x14ac:dyDescent="0.15">
      <c r="F277" t="str">
        <f>IFERROR(VLOOKUP(E277, 映射表!$A$2:$B$5, 2, 0), "")</f>
        <v/>
      </c>
    </row>
    <row r="278" spans="6:6" x14ac:dyDescent="0.15">
      <c r="F278" t="str">
        <f>IFERROR(VLOOKUP(E278, 映射表!$A$2:$B$5, 2, 0), "")</f>
        <v/>
      </c>
    </row>
    <row r="279" spans="6:6" x14ac:dyDescent="0.15">
      <c r="F279" t="str">
        <f>IFERROR(VLOOKUP(E279, 映射表!$A$2:$B$5, 2, 0), "")</f>
        <v/>
      </c>
    </row>
    <row r="280" spans="6:6" x14ac:dyDescent="0.15">
      <c r="F280" t="str">
        <f>IFERROR(VLOOKUP(E280, 映射表!$A$2:$B$5, 2, 0), "")</f>
        <v/>
      </c>
    </row>
    <row r="281" spans="6:6" x14ac:dyDescent="0.15">
      <c r="F281" t="str">
        <f>IFERROR(VLOOKUP(E281, 映射表!$A$2:$B$5, 2, 0), "")</f>
        <v/>
      </c>
    </row>
    <row r="282" spans="6:6" x14ac:dyDescent="0.15">
      <c r="F282" t="str">
        <f>IFERROR(VLOOKUP(E282, 映射表!$A$2:$B$5, 2, 0), "")</f>
        <v/>
      </c>
    </row>
    <row r="283" spans="6:6" x14ac:dyDescent="0.15">
      <c r="F283" t="str">
        <f>IFERROR(VLOOKUP(E283, 映射表!$A$2:$B$5, 2, 0), "")</f>
        <v/>
      </c>
    </row>
    <row r="284" spans="6:6" x14ac:dyDescent="0.15">
      <c r="F284" t="str">
        <f>IFERROR(VLOOKUP(E284, 映射表!$A$2:$B$5, 2, 0), "")</f>
        <v/>
      </c>
    </row>
    <row r="285" spans="6:6" x14ac:dyDescent="0.15">
      <c r="F285" t="str">
        <f>IFERROR(VLOOKUP(E285, 映射表!$A$2:$B$5, 2, 0), "")</f>
        <v/>
      </c>
    </row>
    <row r="286" spans="6:6" x14ac:dyDescent="0.15">
      <c r="F286" t="str">
        <f>IFERROR(VLOOKUP(E286, 映射表!$A$2:$B$5, 2, 0), "")</f>
        <v/>
      </c>
    </row>
    <row r="287" spans="6:6" x14ac:dyDescent="0.15">
      <c r="F287" t="str">
        <f>IFERROR(VLOOKUP(E287, 映射表!$A$2:$B$5, 2, 0), "")</f>
        <v/>
      </c>
    </row>
    <row r="288" spans="6:6" x14ac:dyDescent="0.15">
      <c r="F288" t="str">
        <f>IFERROR(VLOOKUP(E288, 映射表!$A$2:$B$5, 2, 0), "")</f>
        <v/>
      </c>
    </row>
    <row r="289" spans="6:6" x14ac:dyDescent="0.15">
      <c r="F289" t="str">
        <f>IFERROR(VLOOKUP(E289, 映射表!$A$2:$B$5, 2, 0), "")</f>
        <v/>
      </c>
    </row>
    <row r="290" spans="6:6" x14ac:dyDescent="0.15">
      <c r="F290" t="str">
        <f>IFERROR(VLOOKUP(E290, 映射表!$A$2:$B$5, 2, 0), "")</f>
        <v/>
      </c>
    </row>
    <row r="291" spans="6:6" x14ac:dyDescent="0.15">
      <c r="F291" t="str">
        <f>IFERROR(VLOOKUP(E291, 映射表!$A$2:$B$5, 2, 0), "")</f>
        <v/>
      </c>
    </row>
    <row r="292" spans="6:6" x14ac:dyDescent="0.15">
      <c r="F292" t="str">
        <f>IFERROR(VLOOKUP(E292, 映射表!$A$2:$B$5, 2, 0), "")</f>
        <v/>
      </c>
    </row>
    <row r="293" spans="6:6" x14ac:dyDescent="0.15">
      <c r="F293" t="str">
        <f>IFERROR(VLOOKUP(E293, 映射表!$A$2:$B$5, 2, 0), "")</f>
        <v/>
      </c>
    </row>
    <row r="294" spans="6:6" x14ac:dyDescent="0.15">
      <c r="F294" t="str">
        <f>IFERROR(VLOOKUP(E294, 映射表!$A$2:$B$5, 2, 0), "")</f>
        <v/>
      </c>
    </row>
    <row r="295" spans="6:6" x14ac:dyDescent="0.15">
      <c r="F295" t="str">
        <f>IFERROR(VLOOKUP(E295, 映射表!$A$2:$B$5, 2, 0), "")</f>
        <v/>
      </c>
    </row>
    <row r="296" spans="6:6" x14ac:dyDescent="0.15">
      <c r="F296" t="str">
        <f>IFERROR(VLOOKUP(E296, 映射表!$A$2:$B$5, 2, 0), "")</f>
        <v/>
      </c>
    </row>
    <row r="297" spans="6:6" x14ac:dyDescent="0.15">
      <c r="F297" t="str">
        <f>IFERROR(VLOOKUP(E297, 映射表!$A$2:$B$5, 2, 0), "")</f>
        <v/>
      </c>
    </row>
    <row r="298" spans="6:6" x14ac:dyDescent="0.15">
      <c r="F298" t="str">
        <f>IFERROR(VLOOKUP(E298, 映射表!$A$2:$B$5, 2, 0), "")</f>
        <v/>
      </c>
    </row>
    <row r="299" spans="6:6" x14ac:dyDescent="0.15">
      <c r="F299" t="str">
        <f>IFERROR(VLOOKUP(E299, 映射表!$A$2:$B$5, 2, 0), "")</f>
        <v/>
      </c>
    </row>
    <row r="300" spans="6:6" x14ac:dyDescent="0.15">
      <c r="F300" t="str">
        <f>IFERROR(VLOOKUP(E300, 映射表!$A$2:$B$5, 2, 0), "")</f>
        <v/>
      </c>
    </row>
    <row r="301" spans="6:6" x14ac:dyDescent="0.15">
      <c r="F301" t="str">
        <f>IFERROR(VLOOKUP(E301, 映射表!$A$2:$B$5, 2, 0), "")</f>
        <v/>
      </c>
    </row>
    <row r="302" spans="6:6" x14ac:dyDescent="0.15">
      <c r="F302" t="str">
        <f>IFERROR(VLOOKUP(E302, 映射表!$A$2:$B$5, 2, 0), "")</f>
        <v/>
      </c>
    </row>
    <row r="303" spans="6:6" x14ac:dyDescent="0.15">
      <c r="F303" t="str">
        <f>IFERROR(VLOOKUP(E303, 映射表!$A$2:$B$5, 2, 0), "")</f>
        <v/>
      </c>
    </row>
    <row r="304" spans="6:6" x14ac:dyDescent="0.15">
      <c r="F304" t="str">
        <f>IFERROR(VLOOKUP(E304, 映射表!$A$2:$B$5, 2, 0), "")</f>
        <v/>
      </c>
    </row>
    <row r="305" spans="6:6" x14ac:dyDescent="0.15">
      <c r="F305" t="str">
        <f>IFERROR(VLOOKUP(E305, 映射表!$A$2:$B$5, 2, 0), "")</f>
        <v/>
      </c>
    </row>
    <row r="306" spans="6:6" x14ac:dyDescent="0.15">
      <c r="F306" t="str">
        <f>IFERROR(VLOOKUP(E306, 映射表!$A$2:$B$5, 2, 0), "")</f>
        <v/>
      </c>
    </row>
    <row r="307" spans="6:6" x14ac:dyDescent="0.15">
      <c r="F307" t="str">
        <f>IFERROR(VLOOKUP(E307, 映射表!$A$2:$B$5, 2, 0), "")</f>
        <v/>
      </c>
    </row>
    <row r="308" spans="6:6" x14ac:dyDescent="0.15">
      <c r="F308" t="str">
        <f>IFERROR(VLOOKUP(E308, 映射表!$A$2:$B$5, 2, 0), "")</f>
        <v/>
      </c>
    </row>
    <row r="309" spans="6:6" x14ac:dyDescent="0.15">
      <c r="F309" t="str">
        <f>IFERROR(VLOOKUP(E309, 映射表!$A$2:$B$5, 2, 0), "")</f>
        <v/>
      </c>
    </row>
    <row r="310" spans="6:6" x14ac:dyDescent="0.15">
      <c r="F310" t="str">
        <f>IFERROR(VLOOKUP(E310, 映射表!$A$2:$B$5, 2, 0), "")</f>
        <v/>
      </c>
    </row>
    <row r="311" spans="6:6" x14ac:dyDescent="0.15">
      <c r="F311" t="str">
        <f>IFERROR(VLOOKUP(E311, 映射表!$A$2:$B$5, 2, 0), "")</f>
        <v/>
      </c>
    </row>
    <row r="312" spans="6:6" x14ac:dyDescent="0.15">
      <c r="F312" t="str">
        <f>IFERROR(VLOOKUP(E312, 映射表!$A$2:$B$5, 2, 0), "")</f>
        <v/>
      </c>
    </row>
    <row r="313" spans="6:6" x14ac:dyDescent="0.15">
      <c r="F313" t="str">
        <f>IFERROR(VLOOKUP(E313, 映射表!$A$2:$B$5, 2, 0), "")</f>
        <v/>
      </c>
    </row>
    <row r="314" spans="6:6" x14ac:dyDescent="0.15">
      <c r="F314" t="str">
        <f>IFERROR(VLOOKUP(E314, 映射表!$A$2:$B$5, 2, 0), "")</f>
        <v/>
      </c>
    </row>
    <row r="315" spans="6:6" x14ac:dyDescent="0.15">
      <c r="F315" t="str">
        <f>IFERROR(VLOOKUP(E315, 映射表!$A$2:$B$5, 2, 0), "")</f>
        <v/>
      </c>
    </row>
    <row r="316" spans="6:6" x14ac:dyDescent="0.15">
      <c r="F316" t="str">
        <f>IFERROR(VLOOKUP(E316, 映射表!$A$2:$B$5, 2, 0), "")</f>
        <v/>
      </c>
    </row>
    <row r="317" spans="6:6" x14ac:dyDescent="0.15">
      <c r="F317" t="str">
        <f>IFERROR(VLOOKUP(E317, 映射表!$A$2:$B$5, 2, 0), "")</f>
        <v/>
      </c>
    </row>
    <row r="318" spans="6:6" x14ac:dyDescent="0.15">
      <c r="F318" t="str">
        <f>IFERROR(VLOOKUP(E318, 映射表!$A$2:$B$5, 2, 0), "")</f>
        <v/>
      </c>
    </row>
    <row r="319" spans="6:6" x14ac:dyDescent="0.15">
      <c r="F319" t="str">
        <f>IFERROR(VLOOKUP(E319, 映射表!$A$2:$B$5, 2, 0), "")</f>
        <v/>
      </c>
    </row>
    <row r="320" spans="6:6" x14ac:dyDescent="0.15">
      <c r="F320" t="str">
        <f>IFERROR(VLOOKUP(E320, 映射表!$A$2:$B$5, 2, 0), "")</f>
        <v/>
      </c>
    </row>
    <row r="321" spans="6:6" x14ac:dyDescent="0.15">
      <c r="F321" t="str">
        <f>IFERROR(VLOOKUP(E321, 映射表!$A$2:$B$5, 2, 0), "")</f>
        <v/>
      </c>
    </row>
    <row r="322" spans="6:6" x14ac:dyDescent="0.15">
      <c r="F322" t="str">
        <f>IFERROR(VLOOKUP(E322, 映射表!$A$2:$B$5, 2, 0), "")</f>
        <v/>
      </c>
    </row>
    <row r="323" spans="6:6" x14ac:dyDescent="0.15">
      <c r="F323" t="str">
        <f>IFERROR(VLOOKUP(E323, 映射表!$A$2:$B$5, 2, 0), "")</f>
        <v/>
      </c>
    </row>
    <row r="324" spans="6:6" x14ac:dyDescent="0.15">
      <c r="F324" t="str">
        <f>IFERROR(VLOOKUP(E324, 映射表!$A$2:$B$5, 2, 0), "")</f>
        <v/>
      </c>
    </row>
    <row r="325" spans="6:6" x14ac:dyDescent="0.15">
      <c r="F325" t="str">
        <f>IFERROR(VLOOKUP(E325, 映射表!$A$2:$B$5, 2, 0), "")</f>
        <v/>
      </c>
    </row>
    <row r="326" spans="6:6" x14ac:dyDescent="0.15">
      <c r="F326" t="str">
        <f>IFERROR(VLOOKUP(E326, 映射表!$A$2:$B$5, 2, 0), "")</f>
        <v/>
      </c>
    </row>
    <row r="327" spans="6:6" x14ac:dyDescent="0.15">
      <c r="F327" t="str">
        <f>IFERROR(VLOOKUP(E327, 映射表!$A$2:$B$5, 2, 0), "")</f>
        <v/>
      </c>
    </row>
    <row r="328" spans="6:6" x14ac:dyDescent="0.15">
      <c r="F328" t="str">
        <f>IFERROR(VLOOKUP(E328, 映射表!$A$2:$B$5, 2, 0), "")</f>
        <v/>
      </c>
    </row>
    <row r="329" spans="6:6" x14ac:dyDescent="0.15">
      <c r="F329" t="str">
        <f>IFERROR(VLOOKUP(E329, 映射表!$A$2:$B$5, 2, 0), "")</f>
        <v/>
      </c>
    </row>
    <row r="330" spans="6:6" x14ac:dyDescent="0.15">
      <c r="F330" t="str">
        <f>IFERROR(VLOOKUP(E330, 映射表!$A$2:$B$5, 2, 0), "")</f>
        <v/>
      </c>
    </row>
    <row r="331" spans="6:6" x14ac:dyDescent="0.15">
      <c r="F331" t="str">
        <f>IFERROR(VLOOKUP(E331, 映射表!$A$2:$B$5, 2, 0), "")</f>
        <v/>
      </c>
    </row>
    <row r="332" spans="6:6" x14ac:dyDescent="0.15">
      <c r="F332" t="str">
        <f>IFERROR(VLOOKUP(E332, 映射表!$A$2:$B$5, 2, 0), "")</f>
        <v/>
      </c>
    </row>
    <row r="333" spans="6:6" x14ac:dyDescent="0.15">
      <c r="F333" t="str">
        <f>IFERROR(VLOOKUP(E333, 映射表!$A$2:$B$5, 2, 0), "")</f>
        <v/>
      </c>
    </row>
    <row r="334" spans="6:6" x14ac:dyDescent="0.15">
      <c r="F334" t="str">
        <f>IFERROR(VLOOKUP(E334, 映射表!$A$2:$B$5, 2, 0), "")</f>
        <v/>
      </c>
    </row>
    <row r="335" spans="6:6" x14ac:dyDescent="0.15">
      <c r="F335" t="str">
        <f>IFERROR(VLOOKUP(E335, 映射表!$A$2:$B$5, 2, 0), "")</f>
        <v/>
      </c>
    </row>
    <row r="336" spans="6:6" x14ac:dyDescent="0.15">
      <c r="F336" t="str">
        <f>IFERROR(VLOOKUP(E336, 映射表!$A$2:$B$5, 2, 0), "")</f>
        <v/>
      </c>
    </row>
    <row r="337" spans="6:6" x14ac:dyDescent="0.15">
      <c r="F337" t="str">
        <f>IFERROR(VLOOKUP(E337, 映射表!$A$2:$B$5, 2, 0), "")</f>
        <v/>
      </c>
    </row>
    <row r="338" spans="6:6" x14ac:dyDescent="0.15">
      <c r="F338" t="str">
        <f>IFERROR(VLOOKUP(E338, 映射表!$A$2:$B$5, 2, 0), "")</f>
        <v/>
      </c>
    </row>
    <row r="339" spans="6:6" x14ac:dyDescent="0.15">
      <c r="F339" t="str">
        <f>IFERROR(VLOOKUP(E339, 映射表!$A$2:$B$5, 2, 0), "")</f>
        <v/>
      </c>
    </row>
    <row r="340" spans="6:6" x14ac:dyDescent="0.15">
      <c r="F340" t="str">
        <f>IFERROR(VLOOKUP(E340, 映射表!$A$2:$B$5, 2, 0), "")</f>
        <v/>
      </c>
    </row>
    <row r="341" spans="6:6" x14ac:dyDescent="0.15">
      <c r="F341" t="str">
        <f>IFERROR(VLOOKUP(E341, 映射表!$A$2:$B$5, 2, 0), "")</f>
        <v/>
      </c>
    </row>
    <row r="342" spans="6:6" x14ac:dyDescent="0.15">
      <c r="F342" t="str">
        <f>IFERROR(VLOOKUP(E342, 映射表!$A$2:$B$5, 2, 0), "")</f>
        <v/>
      </c>
    </row>
    <row r="343" spans="6:6" x14ac:dyDescent="0.15">
      <c r="F343" t="str">
        <f>IFERROR(VLOOKUP(E343, 映射表!$A$2:$B$5, 2, 0), "")</f>
        <v/>
      </c>
    </row>
    <row r="344" spans="6:6" x14ac:dyDescent="0.15">
      <c r="F344" t="str">
        <f>IFERROR(VLOOKUP(E344, 映射表!$A$2:$B$5, 2, 0), "")</f>
        <v/>
      </c>
    </row>
    <row r="345" spans="6:6" x14ac:dyDescent="0.15">
      <c r="F345" t="str">
        <f>IFERROR(VLOOKUP(E345, 映射表!$A$2:$B$5, 2, 0), "")</f>
        <v/>
      </c>
    </row>
    <row r="346" spans="6:6" x14ac:dyDescent="0.15">
      <c r="F346" t="str">
        <f>IFERROR(VLOOKUP(E346, 映射表!$A$2:$B$5, 2, 0), "")</f>
        <v/>
      </c>
    </row>
    <row r="347" spans="6:6" x14ac:dyDescent="0.15">
      <c r="F347" t="str">
        <f>IFERROR(VLOOKUP(E347, 映射表!$A$2:$B$5, 2, 0), "")</f>
        <v/>
      </c>
    </row>
    <row r="348" spans="6:6" x14ac:dyDescent="0.15">
      <c r="F348" t="str">
        <f>IFERROR(VLOOKUP(E348, 映射表!$A$2:$B$5, 2, 0), "")</f>
        <v/>
      </c>
    </row>
    <row r="349" spans="6:6" x14ac:dyDescent="0.15">
      <c r="F349" t="str">
        <f>IFERROR(VLOOKUP(E349, 映射表!$A$2:$B$5, 2, 0), "")</f>
        <v/>
      </c>
    </row>
    <row r="350" spans="6:6" x14ac:dyDescent="0.15">
      <c r="F350" t="str">
        <f>IFERROR(VLOOKUP(E350, 映射表!$A$2:$B$5, 2, 0), "")</f>
        <v/>
      </c>
    </row>
    <row r="351" spans="6:6" x14ac:dyDescent="0.15">
      <c r="F351" t="str">
        <f>IFERROR(VLOOKUP(E351, 映射表!$A$2:$B$5, 2, 0), "")</f>
        <v/>
      </c>
    </row>
    <row r="352" spans="6:6" x14ac:dyDescent="0.15">
      <c r="F352" t="str">
        <f>IFERROR(VLOOKUP(E352, 映射表!$A$2:$B$5, 2, 0), "")</f>
        <v/>
      </c>
    </row>
    <row r="353" spans="6:6" x14ac:dyDescent="0.15">
      <c r="F353" t="str">
        <f>IFERROR(VLOOKUP(E353, 映射表!$A$2:$B$5, 2, 0), "")</f>
        <v/>
      </c>
    </row>
    <row r="354" spans="6:6" x14ac:dyDescent="0.15">
      <c r="F354" t="str">
        <f>IFERROR(VLOOKUP(E354, 映射表!$A$2:$B$5, 2, 0), "")</f>
        <v/>
      </c>
    </row>
    <row r="355" spans="6:6" x14ac:dyDescent="0.15">
      <c r="F355" t="str">
        <f>IFERROR(VLOOKUP(E355, 映射表!$A$2:$B$5, 2, 0), "")</f>
        <v/>
      </c>
    </row>
    <row r="356" spans="6:6" x14ac:dyDescent="0.15">
      <c r="F356" t="str">
        <f>IFERROR(VLOOKUP(E356, 映射表!$A$2:$B$5, 2, 0), "")</f>
        <v/>
      </c>
    </row>
    <row r="357" spans="6:6" x14ac:dyDescent="0.15">
      <c r="F357" t="str">
        <f>IFERROR(VLOOKUP(E357, 映射表!$A$2:$B$5, 2, 0), "")</f>
        <v/>
      </c>
    </row>
    <row r="358" spans="6:6" x14ac:dyDescent="0.15">
      <c r="F358" t="str">
        <f>IFERROR(VLOOKUP(E358, 映射表!$A$2:$B$5, 2, 0), "")</f>
        <v/>
      </c>
    </row>
    <row r="359" spans="6:6" x14ac:dyDescent="0.15">
      <c r="F359" t="str">
        <f>IFERROR(VLOOKUP(E359, 映射表!$A$2:$B$5, 2, 0), "")</f>
        <v/>
      </c>
    </row>
    <row r="360" spans="6:6" x14ac:dyDescent="0.15">
      <c r="F360" t="str">
        <f>IFERROR(VLOOKUP(E360, 映射表!$A$2:$B$5, 2, 0), "")</f>
        <v/>
      </c>
    </row>
    <row r="361" spans="6:6" x14ac:dyDescent="0.15">
      <c r="F361" t="str">
        <f>IFERROR(VLOOKUP(E361, 映射表!$A$2:$B$5, 2, 0), "")</f>
        <v/>
      </c>
    </row>
    <row r="362" spans="6:6" x14ac:dyDescent="0.15">
      <c r="F362" t="str">
        <f>IFERROR(VLOOKUP(E362, 映射表!$A$2:$B$5, 2, 0), "")</f>
        <v/>
      </c>
    </row>
    <row r="363" spans="6:6" x14ac:dyDescent="0.15">
      <c r="F363" t="str">
        <f>IFERROR(VLOOKUP(E363, 映射表!$A$2:$B$5, 2, 0), "")</f>
        <v/>
      </c>
    </row>
    <row r="364" spans="6:6" x14ac:dyDescent="0.15">
      <c r="F364" t="str">
        <f>IFERROR(VLOOKUP(E364, 映射表!$A$2:$B$5, 2, 0), "")</f>
        <v/>
      </c>
    </row>
    <row r="365" spans="6:6" x14ac:dyDescent="0.15">
      <c r="F365" t="str">
        <f>IFERROR(VLOOKUP(E365, 映射表!$A$2:$B$5, 2, 0), "")</f>
        <v/>
      </c>
    </row>
    <row r="366" spans="6:6" x14ac:dyDescent="0.15">
      <c r="F366" t="str">
        <f>IFERROR(VLOOKUP(E366, 映射表!$A$2:$B$5, 2, 0), "")</f>
        <v/>
      </c>
    </row>
    <row r="367" spans="6:6" x14ac:dyDescent="0.15">
      <c r="F367" t="str">
        <f>IFERROR(VLOOKUP(E367, 映射表!$A$2:$B$5, 2, 0), "")</f>
        <v/>
      </c>
    </row>
    <row r="368" spans="6:6" x14ac:dyDescent="0.15">
      <c r="F368" t="str">
        <f>IFERROR(VLOOKUP(E368, 映射表!$A$2:$B$5, 2, 0), "")</f>
        <v/>
      </c>
    </row>
    <row r="369" spans="6:6" x14ac:dyDescent="0.15">
      <c r="F369" t="str">
        <f>IFERROR(VLOOKUP(E369, 映射表!$A$2:$B$5, 2, 0), "")</f>
        <v/>
      </c>
    </row>
    <row r="370" spans="6:6" x14ac:dyDescent="0.15">
      <c r="F370" t="str">
        <f>IFERROR(VLOOKUP(E370, 映射表!$A$2:$B$5, 2, 0), "")</f>
        <v/>
      </c>
    </row>
    <row r="371" spans="6:6" x14ac:dyDescent="0.15">
      <c r="F371" t="str">
        <f>IFERROR(VLOOKUP(E371, 映射表!$A$2:$B$5, 2, 0), "")</f>
        <v/>
      </c>
    </row>
    <row r="372" spans="6:6" x14ac:dyDescent="0.15">
      <c r="F372" t="str">
        <f>IFERROR(VLOOKUP(E372, 映射表!$A$2:$B$5, 2, 0), "")</f>
        <v/>
      </c>
    </row>
    <row r="373" spans="6:6" x14ac:dyDescent="0.15">
      <c r="F373" t="str">
        <f>IFERROR(VLOOKUP(E373, 映射表!$A$2:$B$5, 2, 0), "")</f>
        <v/>
      </c>
    </row>
    <row r="374" spans="6:6" x14ac:dyDescent="0.15">
      <c r="F374" t="str">
        <f>IFERROR(VLOOKUP(E374, 映射表!$A$2:$B$5, 2, 0), "")</f>
        <v/>
      </c>
    </row>
    <row r="375" spans="6:6" x14ac:dyDescent="0.15">
      <c r="F375" t="str">
        <f>IFERROR(VLOOKUP(E375, 映射表!$A$2:$B$5, 2, 0), "")</f>
        <v/>
      </c>
    </row>
    <row r="376" spans="6:6" x14ac:dyDescent="0.15">
      <c r="F376" t="str">
        <f>IFERROR(VLOOKUP(E376, 映射表!$A$2:$B$5, 2, 0), "")</f>
        <v/>
      </c>
    </row>
    <row r="377" spans="6:6" x14ac:dyDescent="0.15">
      <c r="F377" t="str">
        <f>IFERROR(VLOOKUP(E377, 映射表!$A$2:$B$5, 2, 0), "")</f>
        <v/>
      </c>
    </row>
    <row r="378" spans="6:6" x14ac:dyDescent="0.15">
      <c r="F378" t="str">
        <f>IFERROR(VLOOKUP(E378, 映射表!$A$2:$B$5, 2, 0), "")</f>
        <v/>
      </c>
    </row>
    <row r="379" spans="6:6" x14ac:dyDescent="0.15">
      <c r="F379" t="str">
        <f>IFERROR(VLOOKUP(E379, 映射表!$A$2:$B$5, 2, 0), "")</f>
        <v/>
      </c>
    </row>
    <row r="380" spans="6:6" x14ac:dyDescent="0.15">
      <c r="F380" t="str">
        <f>IFERROR(VLOOKUP(E380, 映射表!$A$2:$B$5, 2, 0), "")</f>
        <v/>
      </c>
    </row>
    <row r="381" spans="6:6" x14ac:dyDescent="0.15">
      <c r="F381" t="str">
        <f>IFERROR(VLOOKUP(E381, 映射表!$A$2:$B$5, 2, 0), "")</f>
        <v/>
      </c>
    </row>
    <row r="382" spans="6:6" x14ac:dyDescent="0.15">
      <c r="F382" t="str">
        <f>IFERROR(VLOOKUP(E382, 映射表!$A$2:$B$5, 2, 0), "")</f>
        <v/>
      </c>
    </row>
    <row r="383" spans="6:6" x14ac:dyDescent="0.15">
      <c r="F383" t="str">
        <f>IFERROR(VLOOKUP(E383, 映射表!$A$2:$B$5, 2, 0), "")</f>
        <v/>
      </c>
    </row>
    <row r="384" spans="6:6" x14ac:dyDescent="0.15">
      <c r="F384" t="str">
        <f>IFERROR(VLOOKUP(E384, 映射表!$A$2:$B$5, 2, 0), "")</f>
        <v/>
      </c>
    </row>
    <row r="385" spans="6:6" x14ac:dyDescent="0.15">
      <c r="F385" t="str">
        <f>IFERROR(VLOOKUP(E385, 映射表!$A$2:$B$5, 2, 0), "")</f>
        <v/>
      </c>
    </row>
    <row r="386" spans="6:6" x14ac:dyDescent="0.15">
      <c r="F386" t="str">
        <f>IFERROR(VLOOKUP(E386, 映射表!$A$2:$B$5, 2, 0), "")</f>
        <v/>
      </c>
    </row>
    <row r="387" spans="6:6" x14ac:dyDescent="0.15">
      <c r="F387" t="str">
        <f>IFERROR(VLOOKUP(E387, 映射表!$A$2:$B$5, 2, 0), "")</f>
        <v/>
      </c>
    </row>
    <row r="388" spans="6:6" x14ac:dyDescent="0.15">
      <c r="F388" t="str">
        <f>IFERROR(VLOOKUP(E388, 映射表!$A$2:$B$5, 2, 0), "")</f>
        <v/>
      </c>
    </row>
    <row r="389" spans="6:6" x14ac:dyDescent="0.15">
      <c r="F389" t="str">
        <f>IFERROR(VLOOKUP(E389, 映射表!$A$2:$B$5, 2, 0), "")</f>
        <v/>
      </c>
    </row>
    <row r="390" spans="6:6" x14ac:dyDescent="0.15">
      <c r="F390" t="str">
        <f>IFERROR(VLOOKUP(E390, 映射表!$A$2:$B$5, 2, 0), "")</f>
        <v/>
      </c>
    </row>
    <row r="391" spans="6:6" x14ac:dyDescent="0.15">
      <c r="F391" t="str">
        <f>IFERROR(VLOOKUP(E391, 映射表!$A$2:$B$5, 2, 0), "")</f>
        <v/>
      </c>
    </row>
    <row r="392" spans="6:6" x14ac:dyDescent="0.15">
      <c r="F392" t="str">
        <f>IFERROR(VLOOKUP(E392, 映射表!$A$2:$B$5, 2, 0), "")</f>
        <v/>
      </c>
    </row>
    <row r="393" spans="6:6" x14ac:dyDescent="0.15">
      <c r="F393" t="str">
        <f>IFERROR(VLOOKUP(E393, 映射表!$A$2:$B$5, 2, 0), "")</f>
        <v/>
      </c>
    </row>
    <row r="394" spans="6:6" x14ac:dyDescent="0.15">
      <c r="F394" t="str">
        <f>IFERROR(VLOOKUP(E394, 映射表!$A$2:$B$5, 2, 0), "")</f>
        <v/>
      </c>
    </row>
    <row r="395" spans="6:6" x14ac:dyDescent="0.15">
      <c r="F395" t="str">
        <f>IFERROR(VLOOKUP(E395, 映射表!$A$2:$B$5, 2, 0), "")</f>
        <v/>
      </c>
    </row>
    <row r="396" spans="6:6" x14ac:dyDescent="0.15">
      <c r="F396" t="str">
        <f>IFERROR(VLOOKUP(E396, 映射表!$A$2:$B$5, 2, 0), "")</f>
        <v/>
      </c>
    </row>
    <row r="397" spans="6:6" x14ac:dyDescent="0.15">
      <c r="F397" t="str">
        <f>IFERROR(VLOOKUP(E397, 映射表!$A$2:$B$5, 2, 0), "")</f>
        <v/>
      </c>
    </row>
    <row r="398" spans="6:6" x14ac:dyDescent="0.15">
      <c r="F398" t="str">
        <f>IFERROR(VLOOKUP(E398, 映射表!$A$2:$B$5, 2, 0), "")</f>
        <v/>
      </c>
    </row>
    <row r="399" spans="6:6" x14ac:dyDescent="0.15">
      <c r="F399" t="str">
        <f>IFERROR(VLOOKUP(E399, 映射表!$A$2:$B$5, 2, 0), "")</f>
        <v/>
      </c>
    </row>
    <row r="400" spans="6:6" x14ac:dyDescent="0.15">
      <c r="F400" t="str">
        <f>IFERROR(VLOOKUP(E400, 映射表!$A$2:$B$5, 2, 0), "")</f>
        <v/>
      </c>
    </row>
    <row r="401" spans="6:6" x14ac:dyDescent="0.15">
      <c r="F401" t="str">
        <f>IFERROR(VLOOKUP(E401, 映射表!$A$2:$B$5, 2, 0), "")</f>
        <v/>
      </c>
    </row>
    <row r="402" spans="6:6" x14ac:dyDescent="0.15">
      <c r="F402" t="str">
        <f>IFERROR(VLOOKUP(E402, 映射表!$A$2:$B$5, 2, 0), "")</f>
        <v/>
      </c>
    </row>
    <row r="403" spans="6:6" x14ac:dyDescent="0.15">
      <c r="F403" t="str">
        <f>IFERROR(VLOOKUP(E403, 映射表!$A$2:$B$5, 2, 0), "")</f>
        <v/>
      </c>
    </row>
    <row r="404" spans="6:6" x14ac:dyDescent="0.15">
      <c r="F404" t="str">
        <f>IFERROR(VLOOKUP(E404, 映射表!$A$2:$B$5, 2, 0), "")</f>
        <v/>
      </c>
    </row>
    <row r="405" spans="6:6" x14ac:dyDescent="0.15">
      <c r="F405" t="str">
        <f>IFERROR(VLOOKUP(E405, 映射表!$A$2:$B$5, 2, 0), "")</f>
        <v/>
      </c>
    </row>
    <row r="406" spans="6:6" x14ac:dyDescent="0.15">
      <c r="F406" t="str">
        <f>IFERROR(VLOOKUP(E406, 映射表!$A$2:$B$5, 2, 0), "")</f>
        <v/>
      </c>
    </row>
    <row r="407" spans="6:6" x14ac:dyDescent="0.15">
      <c r="F407" t="str">
        <f>IFERROR(VLOOKUP(E407, 映射表!$A$2:$B$5, 2, 0), "")</f>
        <v/>
      </c>
    </row>
    <row r="408" spans="6:6" x14ac:dyDescent="0.15">
      <c r="F408" t="str">
        <f>IFERROR(VLOOKUP(E408, 映射表!$A$2:$B$5, 2, 0), "")</f>
        <v/>
      </c>
    </row>
    <row r="409" spans="6:6" x14ac:dyDescent="0.15">
      <c r="F409" t="str">
        <f>IFERROR(VLOOKUP(E409, 映射表!$A$2:$B$5, 2, 0), "")</f>
        <v/>
      </c>
    </row>
    <row r="410" spans="6:6" x14ac:dyDescent="0.15">
      <c r="F410" t="str">
        <f>IFERROR(VLOOKUP(E410, 映射表!$A$2:$B$5, 2, 0), "")</f>
        <v/>
      </c>
    </row>
    <row r="411" spans="6:6" x14ac:dyDescent="0.15">
      <c r="F411" t="str">
        <f>IFERROR(VLOOKUP(E411, 映射表!$A$2:$B$5, 2, 0), "")</f>
        <v/>
      </c>
    </row>
    <row r="412" spans="6:6" x14ac:dyDescent="0.15">
      <c r="F412" t="str">
        <f>IFERROR(VLOOKUP(E412, 映射表!$A$2:$B$5, 2, 0), "")</f>
        <v/>
      </c>
    </row>
    <row r="413" spans="6:6" x14ac:dyDescent="0.15">
      <c r="F413" t="str">
        <f>IFERROR(VLOOKUP(E413, 映射表!$A$2:$B$5, 2, 0), "")</f>
        <v/>
      </c>
    </row>
    <row r="414" spans="6:6" x14ac:dyDescent="0.15">
      <c r="F414" t="str">
        <f>IFERROR(VLOOKUP(E414, 映射表!$A$2:$B$5, 2, 0), "")</f>
        <v/>
      </c>
    </row>
    <row r="415" spans="6:6" x14ac:dyDescent="0.15">
      <c r="F415" t="str">
        <f>IFERROR(VLOOKUP(E415, 映射表!$A$2:$B$5, 2, 0), "")</f>
        <v/>
      </c>
    </row>
    <row r="416" spans="6:6" x14ac:dyDescent="0.15">
      <c r="F416" t="str">
        <f>IFERROR(VLOOKUP(E416, 映射表!$A$2:$B$5, 2, 0), "")</f>
        <v/>
      </c>
    </row>
    <row r="417" spans="6:6" x14ac:dyDescent="0.15">
      <c r="F417" t="str">
        <f>IFERROR(VLOOKUP(E417, 映射表!$A$2:$B$5, 2, 0), "")</f>
        <v/>
      </c>
    </row>
    <row r="418" spans="6:6" x14ac:dyDescent="0.15">
      <c r="F418" t="str">
        <f>IFERROR(VLOOKUP(E418, 映射表!$A$2:$B$5, 2, 0), "")</f>
        <v/>
      </c>
    </row>
    <row r="419" spans="6:6" x14ac:dyDescent="0.15">
      <c r="F419" t="str">
        <f>IFERROR(VLOOKUP(E419, 映射表!$A$2:$B$5, 2, 0), "")</f>
        <v/>
      </c>
    </row>
    <row r="420" spans="6:6" x14ac:dyDescent="0.15">
      <c r="F420" t="str">
        <f>IFERROR(VLOOKUP(E420, 映射表!$A$2:$B$5, 2, 0), "")</f>
        <v/>
      </c>
    </row>
  </sheetData>
  <autoFilter ref="A1:N39" xr:uid="{EDDA9DC0-A9A1-4E98-A384-5F40C27BBD8F}"/>
  <customSheetViews>
    <customSheetView guid="{A814C86E-25A4-42E3-B299-227C8A9779F4}" showGridLines="0" showAutoFilter="1">
      <selection activeCell="I13" sqref="I13"/>
      <pageMargins left="0.7" right="0.7" top="0.75" bottom="0.75" header="0.3" footer="0.3"/>
      <autoFilter ref="A2:G39" xr:uid="{E56D28B8-5ABD-4BD2-BD6B-078710A769B2}"/>
    </customSheetView>
  </customSheetViews>
  <phoneticPr fontId="3" type="noConversion"/>
  <conditionalFormatting sqref="A2:B2 C2:C11 B10:B11 B12:C13 C14:C40 B18:B20">
    <cfRule type="expression" dxfId="12" priority="13486">
      <formula>(#REF!=1)</formula>
    </cfRule>
    <cfRule type="expression" dxfId="11" priority="13494">
      <formula>(#REF!="Yes")</formula>
    </cfRule>
    <cfRule type="expression" dxfId="10" priority="13495">
      <formula>(#REF!="Yes")</formula>
    </cfRule>
    <cfRule type="expression" dxfId="9" priority="13496">
      <formula>(#REF!="Yes")</formula>
    </cfRule>
    <cfRule type="expression" dxfId="8" priority="13497">
      <formula>(#REF!=2)</formula>
    </cfRule>
    <cfRule type="expression" dxfId="7" priority="13498">
      <formula>(#REF!=3)</formula>
    </cfRule>
  </conditionalFormatting>
  <conditionalFormatting sqref="A2:B2 C2:C40 B10:B13 B18:B20 A24:B24 A30:B34">
    <cfRule type="expression" dxfId="6" priority="8">
      <formula>(#REF!="Yes")</formula>
    </cfRule>
  </conditionalFormatting>
  <conditionalFormatting sqref="A24:B24 A30:B34">
    <cfRule type="expression" dxfId="5" priority="13617">
      <formula>(#REF!=1)</formula>
    </cfRule>
    <cfRule type="expression" dxfId="4" priority="13618">
      <formula>(#REF!="Yes")</formula>
    </cfRule>
    <cfRule type="expression" dxfId="3" priority="13619">
      <formula>(#REF!="Yes")</formula>
    </cfRule>
    <cfRule type="expression" dxfId="2" priority="13620">
      <formula>(#REF!="Yes")</formula>
    </cfRule>
    <cfRule type="expression" dxfId="1" priority="13621">
      <formula>(#REF!=2)</formula>
    </cfRule>
    <cfRule type="expression" dxfId="0" priority="13622">
      <formula>(#REF!=3)</formula>
    </cfRule>
  </conditionalFormatting>
  <dataValidations count="1">
    <dataValidation type="list" allowBlank="1" showInputMessage="1" showErrorMessage="1" sqref="H1 H40:H1048576" xr:uid="{C3FEBB18-1846-41F4-89B6-BEC1CF2E090B}">
      <formula1>"是;否"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8A71751-9F4A-45A9-88C8-115B66B533DB}">
          <x14:formula1>
            <xm:f>映射表!$A$2:$A$5</xm:f>
          </x14:formula1>
          <xm:sqref>E1:E1048576</xm:sqref>
        </x14:dataValidation>
        <x14:dataValidation type="list" allowBlank="1" showInputMessage="1" showErrorMessage="1" xr:uid="{E696D328-5406-42D4-9E84-A4165F8DBA74}">
          <x14:formula1>
            <xm:f>映射表!$C$2:$C$3</xm:f>
          </x14:formula1>
          <xm:sqref>H2:H39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89F83-6B69-4B07-9EA7-AD99502435C1}">
  <dimension ref="A1:C5"/>
  <sheetViews>
    <sheetView workbookViewId="0">
      <selection sqref="A1:B5"/>
    </sheetView>
  </sheetViews>
  <sheetFormatPr defaultRowHeight="13.5" x14ac:dyDescent="0.15"/>
  <cols>
    <col min="1" max="1" width="11.625" bestFit="1" customWidth="1"/>
    <col min="2" max="2" width="20.5" customWidth="1"/>
  </cols>
  <sheetData>
    <row r="1" spans="1:3" x14ac:dyDescent="0.15">
      <c r="A1" t="s">
        <v>107</v>
      </c>
      <c r="B1" t="s">
        <v>108</v>
      </c>
      <c r="C1" t="s">
        <v>110</v>
      </c>
    </row>
    <row r="2" spans="1:3" ht="15" customHeight="1" x14ac:dyDescent="0.15">
      <c r="A2" s="3" t="s">
        <v>94</v>
      </c>
      <c r="B2" s="3" t="s">
        <v>88</v>
      </c>
      <c r="C2" t="s">
        <v>113</v>
      </c>
    </row>
    <row r="3" spans="1:3" x14ac:dyDescent="0.15">
      <c r="A3" s="3" t="s">
        <v>93</v>
      </c>
      <c r="B3" s="2" t="s">
        <v>87</v>
      </c>
      <c r="C3" t="s">
        <v>115</v>
      </c>
    </row>
    <row r="4" spans="1:3" x14ac:dyDescent="0.15">
      <c r="A4" s="3" t="s">
        <v>95</v>
      </c>
      <c r="B4" s="3" t="s">
        <v>96</v>
      </c>
    </row>
    <row r="5" spans="1:3" x14ac:dyDescent="0.15">
      <c r="A5" s="3" t="s">
        <v>91</v>
      </c>
      <c r="B5" s="2" t="s">
        <v>92</v>
      </c>
    </row>
  </sheetData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23152C64AB245A4920FAC4BFBAFBF" ma:contentTypeVersion="14" ma:contentTypeDescription="Create a new document." ma:contentTypeScope="" ma:versionID="a147ce5196179442ab1c9726cb178aa9">
  <xsd:schema xmlns:xsd="http://www.w3.org/2001/XMLSchema" xmlns:xs="http://www.w3.org/2001/XMLSchema" xmlns:p="http://schemas.microsoft.com/office/2006/metadata/properties" xmlns:ns2="6bd1f968-35b2-42cf-8f7c-e2953acad71e" xmlns:ns3="1ae5cbaf-126a-426e-8f85-663306326d36" targetNamespace="http://schemas.microsoft.com/office/2006/metadata/properties" ma:root="true" ma:fieldsID="10ccb65649512309cf78050fc0bef035" ns2:_="" ns3:_="">
    <xsd:import namespace="6bd1f968-35b2-42cf-8f7c-e2953acad71e"/>
    <xsd:import namespace="1ae5cbaf-126a-426e-8f85-663306326d3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d1f968-35b2-42cf-8f7c-e2953acad7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e63edab7-d5f1-4c02-989a-0e8ed7c6c3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e5cbaf-126a-426e-8f85-663306326d3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bd1f968-35b2-42cf-8f7c-e2953acad71e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114E3-96D0-451C-8C43-F23091AF9E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d1f968-35b2-42cf-8f7c-e2953acad71e"/>
    <ds:schemaRef ds:uri="1ae5cbaf-126a-426e-8f85-663306326d3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53FB6B0-EC8C-4605-AEA4-EF118B5D529E}">
  <ds:schemaRefs>
    <ds:schemaRef ds:uri="http://schemas.microsoft.com/office/2006/metadata/properties"/>
    <ds:schemaRef ds:uri="http://schemas.microsoft.com/office/infopath/2007/PartnerControls"/>
    <ds:schemaRef ds:uri="6bd1f968-35b2-42cf-8f7c-e2953acad71e"/>
  </ds:schemaRefs>
</ds:datastoreItem>
</file>

<file path=customXml/itemProps3.xml><?xml version="1.0" encoding="utf-8"?>
<ds:datastoreItem xmlns:ds="http://schemas.openxmlformats.org/officeDocument/2006/customXml" ds:itemID="{2A1E602C-36E4-4A9E-B578-89D4EC443FF4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外围检测-masterdrive</vt:lpstr>
      <vt:lpstr>映射表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>C_Unrestricted</cp:keywords>
  <dc:description/>
  <cp:lastModifiedBy/>
  <cp:revision/>
  <dcterms:created xsi:type="dcterms:W3CDTF">2006-09-16T00:00:00Z</dcterms:created>
  <dcterms:modified xsi:type="dcterms:W3CDTF">2026-05-18T06:49:09Z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ument Confidentiality">
    <vt:lpwstr>Unrestricted</vt:lpwstr>
  </property>
  <property fmtid="{D5CDD505-2E9C-101B-9397-08002B2CF9AE}" pid="3" name="_NewReviewCycle">
    <vt:lpwstr/>
  </property>
  <property fmtid="{D5CDD505-2E9C-101B-9397-08002B2CF9AE}" pid="4" name="ContentTypeId">
    <vt:lpwstr>0x010100E5923152C64AB245A4920FAC4BFBAFBF</vt:lpwstr>
  </property>
  <property fmtid="{D5CDD505-2E9C-101B-9397-08002B2CF9AE}" pid="5" name="MediaServiceImageTags">
    <vt:lpwstr/>
  </property>
</Properties>
</file>