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cwq\MyCode\PredictiveMaintenancePlatform\code\"/>
    </mc:Choice>
  </mc:AlternateContent>
  <xr:revisionPtr revIDLastSave="0" documentId="13_ncr:1_{7DCB3D20-2F3C-430E-8A51-ADAB8876668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abelle1" sheetId="1" r:id="rId1"/>
    <sheet name="映射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2" i="1"/>
</calcChain>
</file>

<file path=xl/sharedStrings.xml><?xml version="1.0" encoding="utf-8"?>
<sst xmlns="http://schemas.openxmlformats.org/spreadsheetml/2006/main" count="593" uniqueCount="223">
  <si>
    <t>2-装置级</t>
  </si>
  <si>
    <t>3-模块级</t>
  </si>
  <si>
    <t>4-检测项目</t>
  </si>
  <si>
    <t>5-检测项明细</t>
  </si>
  <si>
    <t>数据类型</t>
  </si>
  <si>
    <t>整流单元</t>
  </si>
  <si>
    <t>维护前主回路检查</t>
  </si>
  <si>
    <t>主回路相间阻值检测</t>
  </si>
  <si>
    <t>进线相间阻值是否正常</t>
  </si>
  <si>
    <t>直流母线间阻值是否正常</t>
  </si>
  <si>
    <t>进线与直流母线间阻值是否正常</t>
  </si>
  <si>
    <t>主回路对地阻值检测</t>
  </si>
  <si>
    <t>进线对地阻值是否正常</t>
  </si>
  <si>
    <t>直流母线对地阻值是否正常</t>
  </si>
  <si>
    <t>进线相间阻值测量</t>
  </si>
  <si>
    <t>L1/L2相间阻值是否正常</t>
  </si>
  <si>
    <t>L1/L3相间阻值是否正常</t>
  </si>
  <si>
    <t>L2/L3相间阻值是否正常</t>
  </si>
  <si>
    <t>直流母线阻值测量</t>
  </si>
  <si>
    <t>C+/D-间阻值是否正常</t>
  </si>
  <si>
    <t>进线与直流母线阻值测量</t>
  </si>
  <si>
    <t>L1/C+间阻值是否正常</t>
  </si>
  <si>
    <t>L1/D-间阻值是否正常</t>
  </si>
  <si>
    <t>L2/C+间阻值是否正常</t>
  </si>
  <si>
    <t>L2/D-间阻值是否正常</t>
  </si>
  <si>
    <t>L3/C+间阻值是否正常</t>
  </si>
  <si>
    <t>主回路对地阻值测量</t>
  </si>
  <si>
    <t>L1/PE间阻值是否正常</t>
  </si>
  <si>
    <t>L2/PE间阻值是否正常</t>
  </si>
  <si>
    <t>L3/PE间阻值是否正常</t>
  </si>
  <si>
    <t>C+/PE间阻值是否正常</t>
  </si>
  <si>
    <t>D-/PE间阻值是否正常</t>
  </si>
  <si>
    <t>解体后清洁</t>
  </si>
  <si>
    <t>清洁电路板</t>
  </si>
  <si>
    <t>CUR板是否已清洁干净</t>
  </si>
  <si>
    <t>PER板是否已清洁干净</t>
  </si>
  <si>
    <t>清洁晶闸管/晶闸管组件</t>
  </si>
  <si>
    <t>晶闸管是否已清洁干净</t>
  </si>
  <si>
    <t>散热片是否已清洁干净</t>
  </si>
  <si>
    <t>阻容回路是否已清洁干净</t>
  </si>
  <si>
    <t>清洁风机</t>
  </si>
  <si>
    <t>风机是否已清洁干净</t>
  </si>
  <si>
    <t>风机壳体是否已清洁干净</t>
  </si>
  <si>
    <t>风机电容是否已清洁干净</t>
  </si>
  <si>
    <t>清洁电流互感器</t>
  </si>
  <si>
    <t>电流互感器是否已清洁干净</t>
  </si>
  <si>
    <t>清洁线束以及铜排</t>
  </si>
  <si>
    <t>装置内部控制电缆是否已清洁干净</t>
  </si>
  <si>
    <t>装置动力电缆是否已清洁干净</t>
  </si>
  <si>
    <t>清洁外壳以及其它结构件</t>
  </si>
  <si>
    <t>装置外壳是否已清洁干净</t>
  </si>
  <si>
    <t>其他结构件是否已清洁干净</t>
  </si>
  <si>
    <t>超声波清洗机清洗</t>
  </si>
  <si>
    <t>清洗机以及烘干机是否已组装好且接好电源</t>
  </si>
  <si>
    <t>清洗剂是否已按比例配好</t>
  </si>
  <si>
    <t>元件是否已清洗干净</t>
  </si>
  <si>
    <t>元件是否已烘干</t>
  </si>
  <si>
    <t>其它</t>
  </si>
  <si>
    <t>柜体，柜底是否已清洁干净</t>
  </si>
  <si>
    <t>其他低压元件是否已清洁干净</t>
  </si>
  <si>
    <t>元件性能检测</t>
  </si>
  <si>
    <t>CUR、PER检测</t>
  </si>
  <si>
    <t>CUR是否正常，无腐蚀</t>
  </si>
  <si>
    <t>PER板是否正常，无腐蚀</t>
  </si>
  <si>
    <t>PER板熔断器是否正常</t>
  </si>
  <si>
    <t>电容板测量容值</t>
  </si>
  <si>
    <t>电容板测量值与标称值是否一致（差值≤5%）</t>
  </si>
  <si>
    <t>晶闸管触发阻值</t>
  </si>
  <si>
    <t>晶闸管正向耐压测试</t>
  </si>
  <si>
    <t>晶闸管反向耐压测试</t>
  </si>
  <si>
    <t>测量阻容吸收回路电阻</t>
  </si>
  <si>
    <t>测量阻容吸收回路电容</t>
  </si>
  <si>
    <t>风机检测</t>
  </si>
  <si>
    <t>是否存在第二个电容</t>
  </si>
  <si>
    <t>风机转动是否平稳，是否与周围无刮蹭</t>
  </si>
  <si>
    <t>风机外观以及结构件是否完整</t>
  </si>
  <si>
    <t>温度传感器检测</t>
  </si>
  <si>
    <t>电流互感器检测</t>
  </si>
  <si>
    <t>测试结果是否正常</t>
  </si>
  <si>
    <t>熔断器检测</t>
  </si>
  <si>
    <t>熔断器是否正常</t>
  </si>
  <si>
    <t>线束检测</t>
  </si>
  <si>
    <t>线束是否有裂痕，腐蚀</t>
  </si>
  <si>
    <t>插头是否紧固</t>
  </si>
  <si>
    <t>组装后整体检测</t>
  </si>
  <si>
    <t>连接可靠性检查</t>
  </si>
  <si>
    <t>主回路连接是否可靠</t>
  </si>
  <si>
    <t>控制回路连接是否可靠</t>
  </si>
  <si>
    <t>安装扭矩检测</t>
  </si>
  <si>
    <t>结构固定螺丝扭矩是否正常</t>
  </si>
  <si>
    <t>电路板螺丝扭矩是否正常</t>
  </si>
  <si>
    <t>主要功率元件螺丝扭矩是否正常</t>
  </si>
  <si>
    <r>
      <t>主回路铜排连接螺丝扭矩是否正常</t>
    </r>
    <r>
      <rPr>
        <sz val="10"/>
        <color theme="1"/>
        <rFont val="Arial"/>
        <family val="2"/>
      </rPr>
      <t xml:space="preserve">  </t>
    </r>
  </si>
  <si>
    <t>绝缘检测</t>
  </si>
  <si>
    <t xml:space="preserve">L1/C+间阻值是否正常 </t>
  </si>
  <si>
    <t xml:space="preserve">L1/D-间阻值是否正常 </t>
  </si>
  <si>
    <t xml:space="preserve">L2/C+间阻值是否正常 </t>
  </si>
  <si>
    <t xml:space="preserve">L2/D-间阻值是否正常 </t>
  </si>
  <si>
    <t xml:space="preserve">L3/C+间阻值是否正常 </t>
  </si>
  <si>
    <t xml:space="preserve">L3/D-间阻值是否正常 </t>
  </si>
  <si>
    <t>送电测试</t>
  </si>
  <si>
    <t>电源检查</t>
  </si>
  <si>
    <t>面板显示状态检查</t>
  </si>
  <si>
    <t>PMU显示是否正常</t>
  </si>
  <si>
    <t>晶闸管测试</t>
  </si>
  <si>
    <t>晶闸管测试是否正常</t>
  </si>
  <si>
    <t>直流电压检测</t>
  </si>
  <si>
    <t>r006显示电压与测量值是否一致</t>
  </si>
  <si>
    <t>风机运行检测</t>
  </si>
  <si>
    <t>风机旋转方向是否正常</t>
  </si>
  <si>
    <t>风机旋转声音是否正常</t>
  </si>
  <si>
    <t>检测电柜进风口风速</t>
  </si>
  <si>
    <t>是否符合装置要求</t>
  </si>
  <si>
    <t>热成像仪检测</t>
  </si>
  <si>
    <t>空载运行时温度情况</t>
  </si>
  <si>
    <t>带载运行时温度情况</t>
  </si>
  <si>
    <t>温度是否正常</t>
  </si>
  <si>
    <t>规则类型</t>
    <phoneticPr fontId="2" type="noConversion"/>
  </si>
  <si>
    <t>规则</t>
    <phoneticPr fontId="2" type="noConversion"/>
  </si>
  <si>
    <t>boolean</t>
    <phoneticPr fontId="2" type="noConversion"/>
  </si>
  <si>
    <t>number</t>
    <phoneticPr fontId="2" type="noConversion"/>
  </si>
  <si>
    <t>boolean_equal</t>
  </si>
  <si>
    <t>number_range</t>
  </si>
  <si>
    <t>是否必填</t>
    <phoneticPr fontId="2" type="noConversion"/>
  </si>
  <si>
    <t>显示条件</t>
    <phoneticPr fontId="2" type="noConversion"/>
  </si>
  <si>
    <t>操作指导</t>
  </si>
  <si>
    <t>建议规则</t>
  </si>
  <si>
    <t>建议内容</t>
  </si>
  <si>
    <t>隐患内容</t>
  </si>
  <si>
    <t>维护说明</t>
  </si>
  <si>
    <t>是</t>
    <phoneticPr fontId="2" type="noConversion"/>
  </si>
  <si>
    <t>否</t>
  </si>
  <si>
    <t>L3/D-间阻值是否正常</t>
    <phoneticPr fontId="2" type="noConversion"/>
  </si>
  <si>
    <t>V13触发阻值(Ω)</t>
  </si>
  <si>
    <t>V15触发阻值(Ω)</t>
  </si>
  <si>
    <t>V14触发阻值(Ω)</t>
  </si>
  <si>
    <t>V16触发阻值(Ω)</t>
  </si>
  <si>
    <t>V12触发阻值(Ω)</t>
  </si>
  <si>
    <t>V11正向耐压测试(MΩ)</t>
  </si>
  <si>
    <t>V13正向耐压测试(MΩ)</t>
  </si>
  <si>
    <t>V15正向耐压测试(MΩ)</t>
  </si>
  <si>
    <t>V14正向耐压测试(MΩ)</t>
  </si>
  <si>
    <t>V16正向耐压测试(MΩ)</t>
  </si>
  <si>
    <t>V12正向耐压测试(MΩ)</t>
  </si>
  <si>
    <t>V11反向耐压测试(MΩ)</t>
  </si>
  <si>
    <t>V13反向耐压测试(MΩ)</t>
  </si>
  <si>
    <t>V15反向耐压测试(MΩ)</t>
  </si>
  <si>
    <t>V14反向耐压测试(MΩ)</t>
  </si>
  <si>
    <t>V16反向耐压测试(MΩ)</t>
  </si>
  <si>
    <t>V12反向耐压测试(MΩ)</t>
  </si>
  <si>
    <t>电阻标称值(Ω)</t>
  </si>
  <si>
    <t>V11阻容吸收电阻值(Ω)</t>
  </si>
  <si>
    <t>V13阻容吸收电阻值(Ω)</t>
  </si>
  <si>
    <t>V15阻容吸收电阻值(Ω)</t>
  </si>
  <si>
    <t>V14阻容吸收电阻值(Ω)</t>
  </si>
  <si>
    <t>V16阻容吸收电阻值(Ω)</t>
  </si>
  <si>
    <t>V12阻容吸收电阻值(Ω)</t>
  </si>
  <si>
    <t>电容标称值(µF)</t>
  </si>
  <si>
    <t>V11阻容吸收电容值(µF)</t>
  </si>
  <si>
    <t>V13阻容吸收电容值(µF)</t>
  </si>
  <si>
    <t>V15阻容吸收电容值(µF)</t>
  </si>
  <si>
    <t>V14阻容吸收电容值(µF)</t>
  </si>
  <si>
    <t>V16阻容吸收电容值(µF)</t>
  </si>
  <si>
    <t>V12阻容吸收电容值(µF)</t>
  </si>
  <si>
    <t>风机电容标称值(µF)</t>
  </si>
  <si>
    <t xml:space="preserve">风机1电容值(µF) </t>
  </si>
  <si>
    <t xml:space="preserve">风机2电容值(µF) </t>
  </si>
  <si>
    <t>温度传感器1阻值(Ω)</t>
  </si>
  <si>
    <t>温度传感器2阻值(Ω)</t>
  </si>
  <si>
    <t>温度传感器3阻值(Ω)</t>
  </si>
  <si>
    <t>所用电压等级(V)</t>
  </si>
  <si>
    <t>绝缘阻值(MΩ)</t>
  </si>
  <si>
    <t>220VAV检测值(V)</t>
  </si>
  <si>
    <t>24VDC检测值(V)</t>
  </si>
  <si>
    <t>风机运行时间（从最后一次恢复工厂设置算起，hours）</t>
  </si>
  <si>
    <t>进风量(M³/S)</t>
  </si>
  <si>
    <t>V11触发阻值(Ω)</t>
    <phoneticPr fontId="2" type="noConversion"/>
  </si>
  <si>
    <t>L3/D-间阻值是否正常=是 And V13触发阻值(Ω)&gt;20</t>
    <phoneticPr fontId="2" type="noConversion"/>
  </si>
  <si>
    <t>value_type</t>
    <phoneticPr fontId="2" type="noConversion"/>
  </si>
  <si>
    <t>rule_type</t>
    <phoneticPr fontId="2" type="noConversion"/>
  </si>
  <si>
    <t>text</t>
  </si>
  <si>
    <t>text_pattern</t>
  </si>
  <si>
    <t>enum</t>
  </si>
  <si>
    <t>enum</t>
    <phoneticPr fontId="2" type="noConversion"/>
  </si>
  <si>
    <t>否</t>
    <phoneticPr fontId="2" type="noConversion"/>
  </si>
  <si>
    <t>隐患非常大</t>
    <phoneticPr fontId="2" type="noConversion"/>
  </si>
  <si>
    <t>建议尽快维护</t>
    <phoneticPr fontId="2" type="noConversion"/>
  </si>
  <si>
    <t>{"options": ["是", "否"], "normal_value":"是"}</t>
    <phoneticPr fontId="2" type="noConversion"/>
  </si>
  <si>
    <t>{"max": 50,"min": 5}</t>
    <phoneticPr fontId="2" type="noConversion"/>
  </si>
  <si>
    <t>{"max": 50,"min": 6}</t>
  </si>
  <si>
    <t>{"max": 50,"min": 7}</t>
  </si>
  <si>
    <t>{"max": 50,"min": 8}</t>
  </si>
  <si>
    <t>{"max": 50,"min": 9}</t>
  </si>
  <si>
    <t>{"max": 50,"min": 10}</t>
  </si>
  <si>
    <t>{"max": 50,"min": 11}</t>
  </si>
  <si>
    <t>{"max": 50,"min": 12}</t>
  </si>
  <si>
    <t>{"max": 50,"min": 13}</t>
  </si>
  <si>
    <t>{"max": 50,"min": 14}</t>
  </si>
  <si>
    <t>{"max": 50,"min": 15}</t>
  </si>
  <si>
    <t>{"max": 50,"min": 16}</t>
  </si>
  <si>
    <t>{"max": 50,"min": 17}</t>
  </si>
  <si>
    <t>{"max": 50,"min": 18}</t>
  </si>
  <si>
    <t>{"max": 50,"min": 19}</t>
  </si>
  <si>
    <t>{"max": 50,"min": 20}</t>
  </si>
  <si>
    <t>{"max": 50,"min": 21}</t>
  </si>
  <si>
    <t>{"max": 50,"min": 22}</t>
  </si>
  <si>
    <t>{"max": 50,"min": 23}</t>
  </si>
  <si>
    <t>{"max": 50,"min": 24}</t>
  </si>
  <si>
    <t>{"max": 50,"min": 25}</t>
  </si>
  <si>
    <t>{"max": 50,"min": 26}</t>
  </si>
  <si>
    <t>{"max": 50,"min": 27}</t>
  </si>
  <si>
    <t>{"max": 50,"min": 28}</t>
  </si>
  <si>
    <t>{"max": 50,"min": 29}</t>
  </si>
  <si>
    <t>{"max": 50,"min": 30}</t>
  </si>
  <si>
    <t>{"max": 50,"min": 31}</t>
  </si>
  <si>
    <t>{"max": 50,"min": 32}</t>
  </si>
  <si>
    <t>{"max": 50,"min": 33}</t>
  </si>
  <si>
    <t>{"max": 50,"min": 34}</t>
  </si>
  <si>
    <t>{"max": 50,"min": 35}</t>
  </si>
  <si>
    <t>{"max": 50,"min": 36}</t>
  </si>
  <si>
    <t>{"max": 50,"min": 37}</t>
  </si>
  <si>
    <t>{"max": 50,"min": 38}</t>
  </si>
  <si>
    <t>{"options": ["正常", "异常"], "normal_value":"正常"}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</si>
</sst>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1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465926084170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0" fillId="0" borderId="4" xfId="0" applyBorder="1"/>
    <xf numFmtId="0" fontId="0" fillId="0" borderId="4" xfId="0" applyBorder="1" applyAlignment="1">
      <alignment wrapText="1"/>
    </xf>
    <xf numFmtId="0" fontId="3" fillId="0" borderId="4" xfId="0" applyFont="1" applyBorder="1"/>
    <xf numFmtId="0" fontId="3" fillId="0" borderId="4" xfId="0" applyFont="1" applyBorder="1" applyAlignment="1">
      <alignment wrapText="1"/>
    </xf>
    <xf numFmtId="0" fontId="3" fillId="4" borderId="4" xfId="0" applyFont="1" applyFill="1" applyBorder="1"/>
    <xf numFmtId="0" fontId="3" fillId="3" borderId="4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/>
    <xf numFmtId="0" fontId="1" fillId="0" borderId="0" xfId="0" applyFont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1" fillId="0" borderId="7" xfId="0" applyFont="1" applyBorder="1"/>
    <xf numFmtId="0" fontId="1" fillId="0" borderId="2" xfId="0" applyFont="1" applyBorder="1"/>
    <xf numFmtId="0" fontId="1" fillId="0" borderId="9" xfId="0" applyFont="1" applyBorder="1"/>
    <xf numFmtId="0" fontId="0" fillId="0" borderId="9" xfId="0" applyBorder="1"/>
    <xf numFmtId="0" fontId="1" fillId="0" borderId="10" xfId="0" applyFont="1" applyBorder="1"/>
    <xf numFmtId="0" fontId="1" fillId="2" borderId="4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3" xfId="0" applyFont="1" applyBorder="1"/>
    <xf numFmtId="0" fontId="1" fillId="0" borderId="11" xfId="0" applyFont="1" applyBorder="1"/>
    <xf numFmtId="0" fontId="1" fillId="2" borderId="3" xfId="0" applyFont="1" applyFill="1" applyBorder="1"/>
    <xf numFmtId="0" fontId="1" fillId="0" borderId="7" xfId="0" applyFont="1" applyBorder="1" applyAlignment="1">
      <alignment vertical="top"/>
    </xf>
    <xf numFmtId="0" fontId="1" fillId="0" borderId="15" xfId="0" applyFont="1" applyBorder="1" applyAlignment="1">
      <alignment vertical="top"/>
    </xf>
    <xf numFmtId="0" fontId="1" fillId="0" borderId="15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4" borderId="6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0"/>
  <sheetViews>
    <sheetView tabSelected="1" workbookViewId="0">
      <selection activeCell="I5" sqref="I5"/>
    </sheetView>
  </sheetViews>
  <sheetFormatPr defaultRowHeight="14.25" x14ac:dyDescent="0.2"/>
  <cols>
    <col min="1" max="1" width="13.25" bestFit="1" customWidth="1"/>
    <col min="2" max="2" width="21.375" customWidth="1"/>
    <col min="3" max="3" width="40.25" customWidth="1"/>
    <col min="4" max="4" width="43.5" customWidth="1"/>
    <col min="6" max="6" width="14.5" customWidth="1"/>
    <col min="7" max="7" width="42.125" bestFit="1" customWidth="1"/>
    <col min="9" max="9" width="49.125" bestFit="1" customWidth="1"/>
    <col min="11" max="11" width="9" customWidth="1"/>
  </cols>
  <sheetData>
    <row r="1" spans="1:14" x14ac:dyDescent="0.2">
      <c r="A1" s="8" t="s">
        <v>0</v>
      </c>
      <c r="B1" s="11" t="s">
        <v>1</v>
      </c>
      <c r="C1" s="7" t="s">
        <v>2</v>
      </c>
      <c r="D1" s="6" t="s">
        <v>3</v>
      </c>
      <c r="E1" s="5" t="s">
        <v>4</v>
      </c>
      <c r="F1" s="6" t="s">
        <v>117</v>
      </c>
      <c r="G1" s="6" t="s">
        <v>118</v>
      </c>
      <c r="H1" s="5" t="s">
        <v>123</v>
      </c>
      <c r="I1" s="5" t="s">
        <v>124</v>
      </c>
      <c r="J1" s="6" t="s">
        <v>125</v>
      </c>
      <c r="K1" s="3" t="s">
        <v>126</v>
      </c>
      <c r="L1" s="3" t="s">
        <v>127</v>
      </c>
      <c r="M1" s="3" t="s">
        <v>128</v>
      </c>
      <c r="N1" s="3" t="s">
        <v>129</v>
      </c>
    </row>
    <row r="2" spans="1:14" ht="16.5" x14ac:dyDescent="0.3">
      <c r="A2" s="32" t="s">
        <v>5</v>
      </c>
      <c r="B2" s="13" t="s">
        <v>6</v>
      </c>
      <c r="C2" s="17" t="s">
        <v>7</v>
      </c>
      <c r="D2" s="9" t="s">
        <v>8</v>
      </c>
      <c r="E2" s="4" t="s">
        <v>119</v>
      </c>
      <c r="F2" s="4" t="str">
        <f>VLOOKUP(E2, 映射表!$A$2:$B$5, 2, 0)</f>
        <v>boolean_equal</v>
      </c>
      <c r="G2" s="3" t="s">
        <v>187</v>
      </c>
      <c r="H2" t="s">
        <v>130</v>
      </c>
      <c r="L2" t="s">
        <v>186</v>
      </c>
      <c r="M2" t="s">
        <v>185</v>
      </c>
    </row>
    <row r="3" spans="1:14" ht="16.5" x14ac:dyDescent="0.3">
      <c r="A3" s="28"/>
      <c r="B3" s="16"/>
      <c r="C3" s="17"/>
      <c r="D3" s="9" t="s">
        <v>9</v>
      </c>
      <c r="E3" s="4" t="s">
        <v>119</v>
      </c>
      <c r="F3" s="4" t="str">
        <f>VLOOKUP(E3, 映射表!$A$2:$B$5, 2, 0)</f>
        <v>boolean_equal</v>
      </c>
      <c r="G3" s="3" t="s">
        <v>222</v>
      </c>
      <c r="H3" t="s">
        <v>130</v>
      </c>
    </row>
    <row r="4" spans="1:14" ht="16.5" x14ac:dyDescent="0.3">
      <c r="A4" s="28"/>
      <c r="B4" s="16"/>
      <c r="C4" s="17"/>
      <c r="D4" s="9" t="s">
        <v>10</v>
      </c>
      <c r="E4" s="4" t="s">
        <v>119</v>
      </c>
      <c r="F4" s="4" t="str">
        <f>VLOOKUP(E4, 映射表!$A$2:$B$5, 2, 0)</f>
        <v>boolean_equal</v>
      </c>
      <c r="G4" s="3" t="s">
        <v>187</v>
      </c>
      <c r="H4" t="s">
        <v>130</v>
      </c>
    </row>
    <row r="5" spans="1:14" ht="16.5" x14ac:dyDescent="0.3">
      <c r="A5" s="28"/>
      <c r="B5" s="14"/>
      <c r="C5" s="1" t="s">
        <v>11</v>
      </c>
      <c r="D5" s="1" t="s">
        <v>12</v>
      </c>
      <c r="E5" s="4" t="s">
        <v>119</v>
      </c>
      <c r="F5" s="4" t="str">
        <f>VLOOKUP(E5, 映射表!$A$2:$B$5, 2, 0)</f>
        <v>boolean_equal</v>
      </c>
      <c r="G5" s="3" t="s">
        <v>187</v>
      </c>
      <c r="H5" t="s">
        <v>130</v>
      </c>
    </row>
    <row r="6" spans="1:14" ht="16.5" x14ac:dyDescent="0.3">
      <c r="A6" s="28"/>
      <c r="B6" s="14"/>
      <c r="C6" s="1"/>
      <c r="D6" s="2" t="s">
        <v>13</v>
      </c>
      <c r="E6" s="4" t="s">
        <v>119</v>
      </c>
      <c r="F6" s="4" t="str">
        <f>VLOOKUP(E6, 映射表!$A$2:$B$5, 2, 0)</f>
        <v>boolean_equal</v>
      </c>
      <c r="G6" s="3" t="s">
        <v>187</v>
      </c>
      <c r="H6" t="s">
        <v>130</v>
      </c>
    </row>
    <row r="7" spans="1:14" ht="16.5" x14ac:dyDescent="0.3">
      <c r="A7" s="28"/>
      <c r="B7" s="14"/>
      <c r="C7" s="1" t="s">
        <v>14</v>
      </c>
      <c r="D7" s="2" t="s">
        <v>15</v>
      </c>
      <c r="E7" s="4" t="s">
        <v>119</v>
      </c>
      <c r="F7" s="4" t="str">
        <f>VLOOKUP(E7, 映射表!$A$2:$B$5, 2, 0)</f>
        <v>boolean_equal</v>
      </c>
      <c r="G7" s="3" t="s">
        <v>187</v>
      </c>
      <c r="H7" t="s">
        <v>130</v>
      </c>
    </row>
    <row r="8" spans="1:14" ht="16.5" x14ac:dyDescent="0.3">
      <c r="A8" s="28"/>
      <c r="B8" s="14"/>
      <c r="C8" s="1"/>
      <c r="D8" s="2" t="s">
        <v>16</v>
      </c>
      <c r="E8" s="4" t="s">
        <v>119</v>
      </c>
      <c r="F8" s="4" t="str">
        <f>VLOOKUP(E8, 映射表!$A$2:$B$5, 2, 0)</f>
        <v>boolean_equal</v>
      </c>
      <c r="G8" s="3" t="s">
        <v>187</v>
      </c>
      <c r="H8" t="s">
        <v>130</v>
      </c>
    </row>
    <row r="9" spans="1:14" ht="16.5" x14ac:dyDescent="0.3">
      <c r="A9" s="28"/>
      <c r="B9" s="14"/>
      <c r="C9" s="1"/>
      <c r="D9" s="2" t="s">
        <v>17</v>
      </c>
      <c r="E9" s="4" t="s">
        <v>119</v>
      </c>
      <c r="F9" s="4" t="str">
        <f>VLOOKUP(E9, 映射表!$A$2:$B$5, 2, 0)</f>
        <v>boolean_equal</v>
      </c>
      <c r="G9" s="3" t="s">
        <v>187</v>
      </c>
      <c r="H9" t="s">
        <v>130</v>
      </c>
    </row>
    <row r="10" spans="1:14" ht="16.5" x14ac:dyDescent="0.3">
      <c r="A10" s="28"/>
      <c r="B10" s="14"/>
      <c r="C10" s="1" t="s">
        <v>18</v>
      </c>
      <c r="D10" s="2" t="s">
        <v>19</v>
      </c>
      <c r="E10" s="4" t="s">
        <v>119</v>
      </c>
      <c r="F10" s="4" t="str">
        <f>VLOOKUP(E10, 映射表!$A$2:$B$5, 2, 0)</f>
        <v>boolean_equal</v>
      </c>
      <c r="G10" s="3" t="s">
        <v>187</v>
      </c>
      <c r="H10" t="s">
        <v>130</v>
      </c>
    </row>
    <row r="11" spans="1:14" ht="16.5" x14ac:dyDescent="0.3">
      <c r="A11" s="28"/>
      <c r="B11" s="14"/>
      <c r="C11" s="1" t="s">
        <v>20</v>
      </c>
      <c r="D11" s="2" t="s">
        <v>21</v>
      </c>
      <c r="E11" s="4" t="s">
        <v>119</v>
      </c>
      <c r="F11" s="4" t="str">
        <f>VLOOKUP(E11, 映射表!$A$2:$B$5, 2, 0)</f>
        <v>boolean_equal</v>
      </c>
      <c r="G11" s="3" t="s">
        <v>187</v>
      </c>
      <c r="H11" t="s">
        <v>130</v>
      </c>
    </row>
    <row r="12" spans="1:14" ht="16.5" x14ac:dyDescent="0.3">
      <c r="A12" s="28"/>
      <c r="B12" s="14"/>
      <c r="C12" s="1"/>
      <c r="D12" s="2" t="s">
        <v>22</v>
      </c>
      <c r="E12" s="4" t="s">
        <v>119</v>
      </c>
      <c r="F12" s="4" t="str">
        <f>VLOOKUP(E12, 映射表!$A$2:$B$5, 2, 0)</f>
        <v>boolean_equal</v>
      </c>
      <c r="G12" s="3" t="s">
        <v>187</v>
      </c>
      <c r="H12" t="s">
        <v>130</v>
      </c>
    </row>
    <row r="13" spans="1:14" ht="16.5" x14ac:dyDescent="0.3">
      <c r="A13" s="28"/>
      <c r="B13" s="14"/>
      <c r="C13" s="1"/>
      <c r="D13" s="2" t="s">
        <v>23</v>
      </c>
      <c r="E13" s="4" t="s">
        <v>119</v>
      </c>
      <c r="F13" s="4" t="str">
        <f>VLOOKUP(E13, 映射表!$A$2:$B$5, 2, 0)</f>
        <v>boolean_equal</v>
      </c>
      <c r="G13" s="3" t="s">
        <v>187</v>
      </c>
      <c r="H13" t="s">
        <v>130</v>
      </c>
    </row>
    <row r="14" spans="1:14" ht="16.5" x14ac:dyDescent="0.3">
      <c r="A14" s="28"/>
      <c r="B14" s="14"/>
      <c r="C14" s="1"/>
      <c r="D14" s="2" t="s">
        <v>24</v>
      </c>
      <c r="E14" s="4" t="s">
        <v>119</v>
      </c>
      <c r="F14" s="4" t="str">
        <f>VLOOKUP(E14, 映射表!$A$2:$B$5, 2, 0)</f>
        <v>boolean_equal</v>
      </c>
      <c r="G14" s="3" t="s">
        <v>187</v>
      </c>
      <c r="H14" t="s">
        <v>130</v>
      </c>
    </row>
    <row r="15" spans="1:14" ht="16.5" x14ac:dyDescent="0.3">
      <c r="A15" s="28"/>
      <c r="B15" s="14"/>
      <c r="C15" s="1"/>
      <c r="D15" s="2" t="s">
        <v>25</v>
      </c>
      <c r="E15" s="4" t="s">
        <v>119</v>
      </c>
      <c r="F15" s="4" t="str">
        <f>VLOOKUP(E15, 映射表!$A$2:$B$5, 2, 0)</f>
        <v>boolean_equal</v>
      </c>
      <c r="G15" s="3" t="s">
        <v>187</v>
      </c>
      <c r="H15" t="s">
        <v>130</v>
      </c>
    </row>
    <row r="16" spans="1:14" ht="16.5" x14ac:dyDescent="0.3">
      <c r="A16" s="28"/>
      <c r="B16" s="14"/>
      <c r="C16" s="1"/>
      <c r="D16" s="2" t="s">
        <v>132</v>
      </c>
      <c r="E16" s="4" t="s">
        <v>119</v>
      </c>
      <c r="F16" s="4" t="str">
        <f>VLOOKUP(E16, 映射表!$A$2:$B$5, 2, 0)</f>
        <v>boolean_equal</v>
      </c>
      <c r="G16" s="3" t="s">
        <v>187</v>
      </c>
      <c r="H16" t="s">
        <v>130</v>
      </c>
    </row>
    <row r="17" spans="1:8" ht="16.5" x14ac:dyDescent="0.3">
      <c r="A17" s="28"/>
      <c r="B17" s="14"/>
      <c r="C17" s="1" t="s">
        <v>26</v>
      </c>
      <c r="D17" s="1" t="s">
        <v>27</v>
      </c>
      <c r="E17" s="4" t="s">
        <v>119</v>
      </c>
      <c r="F17" s="4" t="str">
        <f>VLOOKUP(E17, 映射表!$A$2:$B$5, 2, 0)</f>
        <v>boolean_equal</v>
      </c>
      <c r="G17" s="3" t="s">
        <v>187</v>
      </c>
      <c r="H17" t="s">
        <v>130</v>
      </c>
    </row>
    <row r="18" spans="1:8" ht="16.5" x14ac:dyDescent="0.3">
      <c r="A18" s="28"/>
      <c r="B18" s="14"/>
      <c r="C18" s="12"/>
      <c r="D18" s="1" t="s">
        <v>28</v>
      </c>
      <c r="E18" s="4" t="s">
        <v>119</v>
      </c>
      <c r="F18" s="4" t="str">
        <f>VLOOKUP(E18, 映射表!$A$2:$B$5, 2, 0)</f>
        <v>boolean_equal</v>
      </c>
      <c r="G18" s="3" t="s">
        <v>187</v>
      </c>
      <c r="H18" t="s">
        <v>130</v>
      </c>
    </row>
    <row r="19" spans="1:8" ht="16.5" x14ac:dyDescent="0.3">
      <c r="A19" s="28"/>
      <c r="B19" s="14"/>
      <c r="C19" s="12"/>
      <c r="D19" s="1" t="s">
        <v>29</v>
      </c>
      <c r="E19" s="4" t="s">
        <v>119</v>
      </c>
      <c r="F19" s="4" t="str">
        <f>VLOOKUP(E19, 映射表!$A$2:$B$5, 2, 0)</f>
        <v>boolean_equal</v>
      </c>
      <c r="G19" s="3" t="s">
        <v>187</v>
      </c>
      <c r="H19" t="s">
        <v>130</v>
      </c>
    </row>
    <row r="20" spans="1:8" ht="16.5" x14ac:dyDescent="0.3">
      <c r="A20" s="28"/>
      <c r="B20" s="14"/>
      <c r="C20" s="12"/>
      <c r="D20" s="1" t="s">
        <v>30</v>
      </c>
      <c r="E20" s="4" t="s">
        <v>119</v>
      </c>
      <c r="F20" s="4" t="str">
        <f>VLOOKUP(E20, 映射表!$A$2:$B$5, 2, 0)</f>
        <v>boolean_equal</v>
      </c>
      <c r="G20" s="3" t="s">
        <v>187</v>
      </c>
      <c r="H20" t="s">
        <v>130</v>
      </c>
    </row>
    <row r="21" spans="1:8" ht="16.5" x14ac:dyDescent="0.3">
      <c r="A21" s="28"/>
      <c r="B21" s="14"/>
      <c r="C21" s="12"/>
      <c r="D21" s="20" t="s">
        <v>31</v>
      </c>
      <c r="E21" s="4" t="s">
        <v>119</v>
      </c>
      <c r="F21" s="4" t="str">
        <f>VLOOKUP(E21, 映射表!$A$2:$B$5, 2, 0)</f>
        <v>boolean_equal</v>
      </c>
      <c r="G21" s="3" t="s">
        <v>187</v>
      </c>
      <c r="H21" t="s">
        <v>130</v>
      </c>
    </row>
    <row r="22" spans="1:8" ht="16.5" x14ac:dyDescent="0.3">
      <c r="A22" s="28"/>
      <c r="B22" s="24" t="s">
        <v>32</v>
      </c>
      <c r="C22" s="21" t="s">
        <v>33</v>
      </c>
      <c r="D22" s="21" t="s">
        <v>34</v>
      </c>
      <c r="E22" s="4" t="s">
        <v>119</v>
      </c>
      <c r="F22" s="4" t="str">
        <f>VLOOKUP(E22, 映射表!$A$2:$B$5, 2, 0)</f>
        <v>boolean_equal</v>
      </c>
      <c r="G22" s="3" t="s">
        <v>187</v>
      </c>
      <c r="H22" t="s">
        <v>130</v>
      </c>
    </row>
    <row r="23" spans="1:8" ht="16.5" x14ac:dyDescent="0.3">
      <c r="A23" s="28"/>
      <c r="B23" s="22"/>
      <c r="C23" s="21"/>
      <c r="D23" s="21" t="s">
        <v>35</v>
      </c>
      <c r="E23" s="4" t="s">
        <v>119</v>
      </c>
      <c r="F23" s="4" t="str">
        <f>VLOOKUP(E23, 映射表!$A$2:$B$5, 2, 0)</f>
        <v>boolean_equal</v>
      </c>
      <c r="G23" s="3" t="s">
        <v>187</v>
      </c>
      <c r="H23" t="s">
        <v>130</v>
      </c>
    </row>
    <row r="24" spans="1:8" ht="16.5" x14ac:dyDescent="0.3">
      <c r="A24" s="28"/>
      <c r="B24" s="18"/>
      <c r="C24" s="9" t="s">
        <v>36</v>
      </c>
      <c r="D24" s="9" t="s">
        <v>37</v>
      </c>
      <c r="E24" s="4" t="s">
        <v>119</v>
      </c>
      <c r="F24" s="4" t="str">
        <f>VLOOKUP(E24, 映射表!$A$2:$B$5, 2, 0)</f>
        <v>boolean_equal</v>
      </c>
      <c r="G24" s="3" t="s">
        <v>187</v>
      </c>
      <c r="H24" t="s">
        <v>130</v>
      </c>
    </row>
    <row r="25" spans="1:8" ht="16.5" x14ac:dyDescent="0.3">
      <c r="A25" s="28"/>
      <c r="B25" s="18"/>
      <c r="C25" s="9"/>
      <c r="D25" s="9" t="s">
        <v>38</v>
      </c>
      <c r="E25" s="4" t="s">
        <v>119</v>
      </c>
      <c r="F25" s="4" t="str">
        <f>VLOOKUP(E25, 映射表!$A$2:$B$5, 2, 0)</f>
        <v>boolean_equal</v>
      </c>
      <c r="G25" s="3" t="s">
        <v>187</v>
      </c>
      <c r="H25" t="s">
        <v>130</v>
      </c>
    </row>
    <row r="26" spans="1:8" ht="16.5" x14ac:dyDescent="0.3">
      <c r="A26" s="28"/>
      <c r="B26" s="18"/>
      <c r="C26" s="9"/>
      <c r="D26" s="9" t="s">
        <v>39</v>
      </c>
      <c r="E26" s="4" t="s">
        <v>119</v>
      </c>
      <c r="F26" s="4" t="str">
        <f>VLOOKUP(E26, 映射表!$A$2:$B$5, 2, 0)</f>
        <v>boolean_equal</v>
      </c>
      <c r="G26" s="3" t="s">
        <v>187</v>
      </c>
      <c r="H26" t="s">
        <v>130</v>
      </c>
    </row>
    <row r="27" spans="1:8" ht="16.5" x14ac:dyDescent="0.3">
      <c r="A27" s="28"/>
      <c r="B27" s="18"/>
      <c r="C27" s="9" t="s">
        <v>40</v>
      </c>
      <c r="D27" s="9" t="s">
        <v>41</v>
      </c>
      <c r="E27" s="4" t="s">
        <v>119</v>
      </c>
      <c r="F27" s="4" t="str">
        <f>VLOOKUP(E27, 映射表!$A$2:$B$5, 2, 0)</f>
        <v>boolean_equal</v>
      </c>
      <c r="G27" s="3" t="s">
        <v>187</v>
      </c>
      <c r="H27" t="s">
        <v>130</v>
      </c>
    </row>
    <row r="28" spans="1:8" ht="16.5" x14ac:dyDescent="0.3">
      <c r="A28" s="28"/>
      <c r="B28" s="18"/>
      <c r="C28" s="9"/>
      <c r="D28" s="9" t="s">
        <v>42</v>
      </c>
      <c r="E28" s="4" t="s">
        <v>119</v>
      </c>
      <c r="F28" s="4" t="str">
        <f>VLOOKUP(E28, 映射表!$A$2:$B$5, 2, 0)</f>
        <v>boolean_equal</v>
      </c>
      <c r="G28" s="3" t="s">
        <v>187</v>
      </c>
      <c r="H28" t="s">
        <v>130</v>
      </c>
    </row>
    <row r="29" spans="1:8" ht="16.5" x14ac:dyDescent="0.3">
      <c r="A29" s="28"/>
      <c r="B29" s="18"/>
      <c r="C29" s="9"/>
      <c r="D29" s="9" t="s">
        <v>43</v>
      </c>
      <c r="E29" s="4" t="s">
        <v>119</v>
      </c>
      <c r="F29" s="4" t="str">
        <f>VLOOKUP(E29, 映射表!$A$2:$B$5, 2, 0)</f>
        <v>boolean_equal</v>
      </c>
      <c r="G29" s="3" t="s">
        <v>187</v>
      </c>
      <c r="H29" t="s">
        <v>130</v>
      </c>
    </row>
    <row r="30" spans="1:8" ht="16.5" x14ac:dyDescent="0.3">
      <c r="A30" s="28"/>
      <c r="B30" s="18"/>
      <c r="C30" s="9" t="s">
        <v>44</v>
      </c>
      <c r="D30" s="9" t="s">
        <v>45</v>
      </c>
      <c r="E30" s="4" t="s">
        <v>119</v>
      </c>
      <c r="F30" s="4" t="str">
        <f>VLOOKUP(E30, 映射表!$A$2:$B$5, 2, 0)</f>
        <v>boolean_equal</v>
      </c>
      <c r="G30" s="3" t="s">
        <v>187</v>
      </c>
      <c r="H30" t="s">
        <v>130</v>
      </c>
    </row>
    <row r="31" spans="1:8" ht="16.5" x14ac:dyDescent="0.3">
      <c r="A31" s="28"/>
      <c r="B31" s="19"/>
      <c r="C31" s="9" t="s">
        <v>46</v>
      </c>
      <c r="D31" s="9" t="s">
        <v>47</v>
      </c>
      <c r="E31" s="4" t="s">
        <v>119</v>
      </c>
      <c r="F31" s="4" t="str">
        <f>VLOOKUP(E31, 映射表!$A$2:$B$5, 2, 0)</f>
        <v>boolean_equal</v>
      </c>
      <c r="G31" s="3" t="s">
        <v>187</v>
      </c>
      <c r="H31" t="s">
        <v>130</v>
      </c>
    </row>
    <row r="32" spans="1:8" ht="16.5" x14ac:dyDescent="0.3">
      <c r="A32" s="28"/>
      <c r="B32" s="19"/>
      <c r="C32" s="9"/>
      <c r="D32" s="9" t="s">
        <v>48</v>
      </c>
      <c r="E32" s="4" t="s">
        <v>119</v>
      </c>
      <c r="F32" s="4" t="str">
        <f>VLOOKUP(E32, 映射表!$A$2:$B$5, 2, 0)</f>
        <v>boolean_equal</v>
      </c>
      <c r="G32" s="3" t="s">
        <v>187</v>
      </c>
      <c r="H32" t="s">
        <v>130</v>
      </c>
    </row>
    <row r="33" spans="1:9" ht="16.5" x14ac:dyDescent="0.3">
      <c r="A33" s="28"/>
      <c r="B33" s="19"/>
      <c r="C33" s="9" t="s">
        <v>49</v>
      </c>
      <c r="D33" s="9" t="s">
        <v>50</v>
      </c>
      <c r="E33" s="4" t="s">
        <v>119</v>
      </c>
      <c r="F33" s="4" t="str">
        <f>VLOOKUP(E33, 映射表!$A$2:$B$5, 2, 0)</f>
        <v>boolean_equal</v>
      </c>
      <c r="G33" s="3" t="s">
        <v>187</v>
      </c>
      <c r="H33" t="s">
        <v>130</v>
      </c>
    </row>
    <row r="34" spans="1:9" ht="16.5" x14ac:dyDescent="0.3">
      <c r="A34" s="28"/>
      <c r="B34" s="19"/>
      <c r="C34" s="9"/>
      <c r="D34" s="9" t="s">
        <v>51</v>
      </c>
      <c r="E34" s="4" t="s">
        <v>119</v>
      </c>
      <c r="F34" s="4" t="str">
        <f>VLOOKUP(E34, 映射表!$A$2:$B$5, 2, 0)</f>
        <v>boolean_equal</v>
      </c>
      <c r="G34" s="3" t="s">
        <v>187</v>
      </c>
      <c r="H34" t="s">
        <v>130</v>
      </c>
    </row>
    <row r="35" spans="1:9" ht="16.5" x14ac:dyDescent="0.3">
      <c r="A35" s="28"/>
      <c r="B35" s="19"/>
      <c r="C35" s="9" t="s">
        <v>52</v>
      </c>
      <c r="D35" s="9" t="s">
        <v>53</v>
      </c>
      <c r="E35" s="4" t="s">
        <v>119</v>
      </c>
      <c r="F35" s="4" t="str">
        <f>VLOOKUP(E35, 映射表!$A$2:$B$5, 2, 0)</f>
        <v>boolean_equal</v>
      </c>
      <c r="G35" s="3" t="s">
        <v>187</v>
      </c>
      <c r="H35" t="s">
        <v>130</v>
      </c>
    </row>
    <row r="36" spans="1:9" ht="16.5" x14ac:dyDescent="0.3">
      <c r="A36" s="28"/>
      <c r="B36" s="19"/>
      <c r="C36" s="9"/>
      <c r="D36" s="9" t="s">
        <v>54</v>
      </c>
      <c r="E36" s="4" t="s">
        <v>119</v>
      </c>
      <c r="F36" s="4" t="str">
        <f>VLOOKUP(E36, 映射表!$A$2:$B$5, 2, 0)</f>
        <v>boolean_equal</v>
      </c>
      <c r="G36" s="3" t="s">
        <v>187</v>
      </c>
      <c r="H36" t="s">
        <v>130</v>
      </c>
    </row>
    <row r="37" spans="1:9" ht="16.5" x14ac:dyDescent="0.3">
      <c r="A37" s="28"/>
      <c r="B37" s="19"/>
      <c r="C37" s="9"/>
      <c r="D37" s="9" t="s">
        <v>55</v>
      </c>
      <c r="E37" s="4" t="s">
        <v>119</v>
      </c>
      <c r="F37" s="4" t="str">
        <f>VLOOKUP(E37, 映射表!$A$2:$B$5, 2, 0)</f>
        <v>boolean_equal</v>
      </c>
      <c r="G37" s="3" t="s">
        <v>187</v>
      </c>
      <c r="H37" t="s">
        <v>130</v>
      </c>
    </row>
    <row r="38" spans="1:9" ht="16.5" x14ac:dyDescent="0.3">
      <c r="A38" s="28"/>
      <c r="B38" s="19"/>
      <c r="C38" s="9"/>
      <c r="D38" s="9" t="s">
        <v>56</v>
      </c>
      <c r="E38" s="4" t="s">
        <v>119</v>
      </c>
      <c r="F38" s="4" t="str">
        <f>VLOOKUP(E38, 映射表!$A$2:$B$5, 2, 0)</f>
        <v>boolean_equal</v>
      </c>
      <c r="G38" s="3" t="s">
        <v>187</v>
      </c>
      <c r="H38" t="s">
        <v>130</v>
      </c>
    </row>
    <row r="39" spans="1:9" ht="16.5" x14ac:dyDescent="0.3">
      <c r="A39" s="28"/>
      <c r="B39" s="19"/>
      <c r="C39" s="9" t="s">
        <v>57</v>
      </c>
      <c r="D39" s="9" t="s">
        <v>58</v>
      </c>
      <c r="E39" s="4" t="s">
        <v>119</v>
      </c>
      <c r="F39" s="4" t="str">
        <f>VLOOKUP(E39, 映射表!$A$2:$B$5, 2, 0)</f>
        <v>boolean_equal</v>
      </c>
      <c r="G39" s="3" t="s">
        <v>187</v>
      </c>
      <c r="H39" t="s">
        <v>130</v>
      </c>
    </row>
    <row r="40" spans="1:9" ht="16.5" x14ac:dyDescent="0.3">
      <c r="A40" s="28"/>
      <c r="B40" s="14"/>
      <c r="C40" s="9"/>
      <c r="D40" s="9" t="s">
        <v>59</v>
      </c>
      <c r="E40" s="4" t="s">
        <v>119</v>
      </c>
      <c r="F40" s="4" t="str">
        <f>VLOOKUP(E40, 映射表!$A$2:$B$5, 2, 0)</f>
        <v>boolean_equal</v>
      </c>
      <c r="G40" s="3" t="s">
        <v>187</v>
      </c>
      <c r="H40" t="s">
        <v>130</v>
      </c>
    </row>
    <row r="41" spans="1:9" ht="16.5" x14ac:dyDescent="0.3">
      <c r="A41" s="28"/>
      <c r="B41" s="24" t="s">
        <v>60</v>
      </c>
      <c r="C41" s="10" t="s">
        <v>61</v>
      </c>
      <c r="D41" s="21" t="s">
        <v>62</v>
      </c>
      <c r="E41" s="4" t="s">
        <v>119</v>
      </c>
      <c r="F41" s="4" t="str">
        <f>VLOOKUP(E41, 映射表!$A$2:$B$5, 2, 0)</f>
        <v>boolean_equal</v>
      </c>
      <c r="G41" s="3" t="s">
        <v>187</v>
      </c>
      <c r="H41" t="s">
        <v>130</v>
      </c>
    </row>
    <row r="42" spans="1:9" ht="16.5" x14ac:dyDescent="0.3">
      <c r="A42" s="28"/>
      <c r="B42" s="16"/>
      <c r="C42" s="10"/>
      <c r="D42" s="21" t="s">
        <v>63</v>
      </c>
      <c r="E42" s="4" t="s">
        <v>119</v>
      </c>
      <c r="F42" s="4" t="str">
        <f>VLOOKUP(E42, 映射表!$A$2:$B$5, 2, 0)</f>
        <v>boolean_equal</v>
      </c>
      <c r="G42" s="3" t="s">
        <v>187</v>
      </c>
      <c r="H42" t="s">
        <v>130</v>
      </c>
    </row>
    <row r="43" spans="1:9" ht="16.5" x14ac:dyDescent="0.3">
      <c r="A43" s="28"/>
      <c r="B43" s="16"/>
      <c r="C43" s="10"/>
      <c r="D43" s="21" t="s">
        <v>64</v>
      </c>
      <c r="E43" s="4" t="s">
        <v>119</v>
      </c>
      <c r="F43" s="4" t="str">
        <f>VLOOKUP(E43, 映射表!$A$2:$B$5, 2, 0)</f>
        <v>boolean_equal</v>
      </c>
      <c r="G43" s="3" t="s">
        <v>187</v>
      </c>
      <c r="H43" t="s">
        <v>130</v>
      </c>
    </row>
    <row r="44" spans="1:9" ht="16.5" x14ac:dyDescent="0.3">
      <c r="A44" s="28"/>
      <c r="B44" s="16"/>
      <c r="C44" s="10" t="s">
        <v>65</v>
      </c>
      <c r="D44" s="21" t="s">
        <v>66</v>
      </c>
      <c r="E44" s="4" t="s">
        <v>119</v>
      </c>
      <c r="F44" s="4" t="str">
        <f>VLOOKUP(E44, 映射表!$A$2:$B$5, 2, 0)</f>
        <v>boolean_equal</v>
      </c>
      <c r="G44" s="3" t="s">
        <v>187</v>
      </c>
      <c r="H44" t="s">
        <v>130</v>
      </c>
    </row>
    <row r="45" spans="1:9" ht="16.5" x14ac:dyDescent="0.3">
      <c r="A45" s="28"/>
      <c r="B45" s="16"/>
      <c r="C45" s="10" t="s">
        <v>67</v>
      </c>
      <c r="D45" s="21" t="s">
        <v>176</v>
      </c>
      <c r="E45" s="4" t="s">
        <v>120</v>
      </c>
      <c r="F45" s="4" t="str">
        <f>VLOOKUP(E45, 映射表!$A$2:$B$5, 2, 0)</f>
        <v>number_range</v>
      </c>
      <c r="G45" s="3" t="s">
        <v>188</v>
      </c>
      <c r="H45" t="s">
        <v>130</v>
      </c>
    </row>
    <row r="46" spans="1:9" ht="16.5" x14ac:dyDescent="0.3">
      <c r="A46" s="28"/>
      <c r="B46" s="16"/>
      <c r="C46" s="10"/>
      <c r="D46" s="21" t="s">
        <v>133</v>
      </c>
      <c r="E46" s="4" t="s">
        <v>120</v>
      </c>
      <c r="F46" s="4" t="str">
        <f>VLOOKUP(E46, 映射表!$A$2:$B$5, 2, 0)</f>
        <v>number_range</v>
      </c>
      <c r="G46" s="3" t="s">
        <v>189</v>
      </c>
      <c r="H46" t="s">
        <v>130</v>
      </c>
    </row>
    <row r="47" spans="1:9" ht="16.5" x14ac:dyDescent="0.3">
      <c r="A47" s="28"/>
      <c r="B47" s="16"/>
      <c r="C47" s="10"/>
      <c r="D47" s="21" t="s">
        <v>134</v>
      </c>
      <c r="E47" s="4" t="s">
        <v>120</v>
      </c>
      <c r="F47" s="4" t="str">
        <f>VLOOKUP(E47, 映射表!$A$2:$B$5, 2, 0)</f>
        <v>number_range</v>
      </c>
      <c r="G47" s="3" t="s">
        <v>190</v>
      </c>
      <c r="H47" t="s">
        <v>131</v>
      </c>
      <c r="I47" s="2" t="s">
        <v>177</v>
      </c>
    </row>
    <row r="48" spans="1:9" ht="16.5" x14ac:dyDescent="0.3">
      <c r="A48" s="28"/>
      <c r="B48" s="16"/>
      <c r="C48" s="10"/>
      <c r="D48" s="21" t="s">
        <v>135</v>
      </c>
      <c r="E48" s="4" t="s">
        <v>120</v>
      </c>
      <c r="F48" s="4" t="str">
        <f>VLOOKUP(E48, 映射表!$A$2:$B$5, 2, 0)</f>
        <v>number_range</v>
      </c>
      <c r="G48" s="3" t="s">
        <v>191</v>
      </c>
      <c r="H48" t="s">
        <v>130</v>
      </c>
    </row>
    <row r="49" spans="1:8" ht="16.5" x14ac:dyDescent="0.3">
      <c r="A49" s="28"/>
      <c r="B49" s="16"/>
      <c r="C49" s="10"/>
      <c r="D49" s="21" t="s">
        <v>136</v>
      </c>
      <c r="E49" s="4" t="s">
        <v>120</v>
      </c>
      <c r="F49" s="4" t="str">
        <f>VLOOKUP(E49, 映射表!$A$2:$B$5, 2, 0)</f>
        <v>number_range</v>
      </c>
      <c r="G49" s="3" t="s">
        <v>192</v>
      </c>
      <c r="H49" t="s">
        <v>130</v>
      </c>
    </row>
    <row r="50" spans="1:8" ht="16.5" x14ac:dyDescent="0.3">
      <c r="A50" s="28"/>
      <c r="B50" s="16"/>
      <c r="C50" s="10"/>
      <c r="D50" s="21" t="s">
        <v>137</v>
      </c>
      <c r="E50" s="4" t="s">
        <v>120</v>
      </c>
      <c r="F50" s="4" t="str">
        <f>VLOOKUP(E50, 映射表!$A$2:$B$5, 2, 0)</f>
        <v>number_range</v>
      </c>
      <c r="G50" s="3" t="s">
        <v>193</v>
      </c>
      <c r="H50" t="s">
        <v>130</v>
      </c>
    </row>
    <row r="51" spans="1:8" ht="16.5" x14ac:dyDescent="0.3">
      <c r="A51" s="28"/>
      <c r="B51" s="14"/>
      <c r="C51" s="10" t="s">
        <v>68</v>
      </c>
      <c r="D51" s="21" t="s">
        <v>138</v>
      </c>
      <c r="E51" s="4" t="s">
        <v>120</v>
      </c>
      <c r="F51" s="4" t="str">
        <f>VLOOKUP(E51, 映射表!$A$2:$B$5, 2, 0)</f>
        <v>number_range</v>
      </c>
      <c r="G51" s="3" t="s">
        <v>194</v>
      </c>
      <c r="H51" t="s">
        <v>130</v>
      </c>
    </row>
    <row r="52" spans="1:8" ht="16.5" x14ac:dyDescent="0.3">
      <c r="A52" s="28"/>
      <c r="B52" s="14"/>
      <c r="C52" s="10"/>
      <c r="D52" s="21" t="s">
        <v>139</v>
      </c>
      <c r="E52" s="4" t="s">
        <v>120</v>
      </c>
      <c r="F52" s="4" t="str">
        <f>VLOOKUP(E52, 映射表!$A$2:$B$5, 2, 0)</f>
        <v>number_range</v>
      </c>
      <c r="G52" s="3" t="s">
        <v>195</v>
      </c>
      <c r="H52" t="s">
        <v>130</v>
      </c>
    </row>
    <row r="53" spans="1:8" ht="16.5" x14ac:dyDescent="0.3">
      <c r="A53" s="28"/>
      <c r="B53" s="14"/>
      <c r="C53" s="10"/>
      <c r="D53" s="21" t="s">
        <v>140</v>
      </c>
      <c r="E53" s="4" t="s">
        <v>120</v>
      </c>
      <c r="F53" s="4" t="str">
        <f>VLOOKUP(E53, 映射表!$A$2:$B$5, 2, 0)</f>
        <v>number_range</v>
      </c>
      <c r="G53" s="3" t="s">
        <v>196</v>
      </c>
      <c r="H53" t="s">
        <v>130</v>
      </c>
    </row>
    <row r="54" spans="1:8" ht="16.5" x14ac:dyDescent="0.3">
      <c r="A54" s="28"/>
      <c r="B54" s="14"/>
      <c r="C54" s="10"/>
      <c r="D54" s="21" t="s">
        <v>141</v>
      </c>
      <c r="E54" s="4" t="s">
        <v>120</v>
      </c>
      <c r="F54" s="4" t="str">
        <f>VLOOKUP(E54, 映射表!$A$2:$B$5, 2, 0)</f>
        <v>number_range</v>
      </c>
      <c r="G54" s="3" t="s">
        <v>197</v>
      </c>
      <c r="H54" t="s">
        <v>130</v>
      </c>
    </row>
    <row r="55" spans="1:8" ht="16.5" x14ac:dyDescent="0.3">
      <c r="A55" s="28"/>
      <c r="B55" s="14"/>
      <c r="C55" s="10"/>
      <c r="D55" s="21" t="s">
        <v>142</v>
      </c>
      <c r="E55" s="4" t="s">
        <v>120</v>
      </c>
      <c r="F55" s="4" t="str">
        <f>VLOOKUP(E55, 映射表!$A$2:$B$5, 2, 0)</f>
        <v>number_range</v>
      </c>
      <c r="G55" s="3" t="s">
        <v>198</v>
      </c>
      <c r="H55" t="s">
        <v>130</v>
      </c>
    </row>
    <row r="56" spans="1:8" ht="16.5" x14ac:dyDescent="0.3">
      <c r="A56" s="28"/>
      <c r="B56" s="14"/>
      <c r="C56" s="10"/>
      <c r="D56" s="21" t="s">
        <v>143</v>
      </c>
      <c r="E56" s="4" t="s">
        <v>120</v>
      </c>
      <c r="F56" s="4" t="str">
        <f>VLOOKUP(E56, 映射表!$A$2:$B$5, 2, 0)</f>
        <v>number_range</v>
      </c>
      <c r="G56" s="3" t="s">
        <v>199</v>
      </c>
      <c r="H56" t="s">
        <v>130</v>
      </c>
    </row>
    <row r="57" spans="1:8" ht="16.5" x14ac:dyDescent="0.3">
      <c r="A57" s="28"/>
      <c r="B57" s="14"/>
      <c r="C57" s="10" t="s">
        <v>69</v>
      </c>
      <c r="D57" s="21" t="s">
        <v>144</v>
      </c>
      <c r="E57" s="4" t="s">
        <v>120</v>
      </c>
      <c r="F57" s="4" t="str">
        <f>VLOOKUP(E57, 映射表!$A$2:$B$5, 2, 0)</f>
        <v>number_range</v>
      </c>
      <c r="G57" s="3" t="s">
        <v>200</v>
      </c>
      <c r="H57" t="s">
        <v>130</v>
      </c>
    </row>
    <row r="58" spans="1:8" ht="16.5" x14ac:dyDescent="0.3">
      <c r="A58" s="28"/>
      <c r="B58" s="14"/>
      <c r="C58" s="10"/>
      <c r="D58" s="21" t="s">
        <v>145</v>
      </c>
      <c r="E58" s="4" t="s">
        <v>120</v>
      </c>
      <c r="F58" s="4" t="str">
        <f>VLOOKUP(E58, 映射表!$A$2:$B$5, 2, 0)</f>
        <v>number_range</v>
      </c>
      <c r="G58" s="3" t="s">
        <v>201</v>
      </c>
      <c r="H58" t="s">
        <v>130</v>
      </c>
    </row>
    <row r="59" spans="1:8" ht="16.5" x14ac:dyDescent="0.3">
      <c r="A59" s="28"/>
      <c r="B59" s="14"/>
      <c r="C59" s="10"/>
      <c r="D59" s="21" t="s">
        <v>146</v>
      </c>
      <c r="E59" s="4" t="s">
        <v>120</v>
      </c>
      <c r="F59" s="4" t="str">
        <f>VLOOKUP(E59, 映射表!$A$2:$B$5, 2, 0)</f>
        <v>number_range</v>
      </c>
      <c r="G59" s="3" t="s">
        <v>202</v>
      </c>
      <c r="H59" t="s">
        <v>130</v>
      </c>
    </row>
    <row r="60" spans="1:8" ht="16.5" x14ac:dyDescent="0.3">
      <c r="A60" s="28"/>
      <c r="B60" s="14"/>
      <c r="C60" s="10"/>
      <c r="D60" s="21" t="s">
        <v>147</v>
      </c>
      <c r="E60" s="4" t="s">
        <v>120</v>
      </c>
      <c r="F60" s="4" t="str">
        <f>VLOOKUP(E60, 映射表!$A$2:$B$5, 2, 0)</f>
        <v>number_range</v>
      </c>
      <c r="G60" s="3" t="s">
        <v>203</v>
      </c>
      <c r="H60" t="s">
        <v>130</v>
      </c>
    </row>
    <row r="61" spans="1:8" ht="16.5" x14ac:dyDescent="0.3">
      <c r="A61" s="28"/>
      <c r="B61" s="14"/>
      <c r="C61" s="10"/>
      <c r="D61" s="21" t="s">
        <v>148</v>
      </c>
      <c r="E61" s="4" t="s">
        <v>120</v>
      </c>
      <c r="F61" s="4" t="str">
        <f>VLOOKUP(E61, 映射表!$A$2:$B$5, 2, 0)</f>
        <v>number_range</v>
      </c>
      <c r="G61" s="3" t="s">
        <v>204</v>
      </c>
      <c r="H61" t="s">
        <v>130</v>
      </c>
    </row>
    <row r="62" spans="1:8" ht="16.5" x14ac:dyDescent="0.3">
      <c r="A62" s="28"/>
      <c r="B62" s="14"/>
      <c r="C62" s="10"/>
      <c r="D62" s="21" t="s">
        <v>149</v>
      </c>
      <c r="E62" s="4" t="s">
        <v>120</v>
      </c>
      <c r="F62" s="4" t="str">
        <f>VLOOKUP(E62, 映射表!$A$2:$B$5, 2, 0)</f>
        <v>number_range</v>
      </c>
      <c r="G62" s="3" t="s">
        <v>205</v>
      </c>
      <c r="H62" t="s">
        <v>130</v>
      </c>
    </row>
    <row r="63" spans="1:8" ht="16.5" x14ac:dyDescent="0.3">
      <c r="A63" s="28"/>
      <c r="B63" s="14"/>
      <c r="C63" s="10" t="s">
        <v>70</v>
      </c>
      <c r="D63" s="9" t="s">
        <v>150</v>
      </c>
      <c r="E63" s="4" t="s">
        <v>120</v>
      </c>
      <c r="F63" s="4" t="str">
        <f>VLOOKUP(E63, 映射表!$A$2:$B$5, 2, 0)</f>
        <v>number_range</v>
      </c>
      <c r="G63" s="3" t="s">
        <v>206</v>
      </c>
      <c r="H63" t="s">
        <v>130</v>
      </c>
    </row>
    <row r="64" spans="1:8" ht="16.5" x14ac:dyDescent="0.3">
      <c r="A64" s="28"/>
      <c r="B64" s="14"/>
      <c r="C64" s="10"/>
      <c r="D64" s="9" t="s">
        <v>151</v>
      </c>
      <c r="E64" s="4" t="s">
        <v>120</v>
      </c>
      <c r="F64" s="4" t="str">
        <f>VLOOKUP(E64, 映射表!$A$2:$B$5, 2, 0)</f>
        <v>number_range</v>
      </c>
      <c r="G64" s="3" t="s">
        <v>207</v>
      </c>
      <c r="H64" t="s">
        <v>130</v>
      </c>
    </row>
    <row r="65" spans="1:8" ht="16.5" x14ac:dyDescent="0.3">
      <c r="A65" s="28"/>
      <c r="B65" s="14"/>
      <c r="C65" s="10"/>
      <c r="D65" s="9" t="s">
        <v>152</v>
      </c>
      <c r="E65" s="4" t="s">
        <v>120</v>
      </c>
      <c r="F65" s="4" t="str">
        <f>VLOOKUP(E65, 映射表!$A$2:$B$5, 2, 0)</f>
        <v>number_range</v>
      </c>
      <c r="G65" s="3" t="s">
        <v>208</v>
      </c>
      <c r="H65" t="s">
        <v>130</v>
      </c>
    </row>
    <row r="66" spans="1:8" ht="16.5" x14ac:dyDescent="0.3">
      <c r="A66" s="28"/>
      <c r="B66" s="14"/>
      <c r="C66" s="10"/>
      <c r="D66" s="9" t="s">
        <v>153</v>
      </c>
      <c r="E66" s="4" t="s">
        <v>120</v>
      </c>
      <c r="F66" s="4" t="str">
        <f>VLOOKUP(E66, 映射表!$A$2:$B$5, 2, 0)</f>
        <v>number_range</v>
      </c>
      <c r="G66" s="3" t="s">
        <v>209</v>
      </c>
      <c r="H66" t="s">
        <v>130</v>
      </c>
    </row>
    <row r="67" spans="1:8" ht="16.5" x14ac:dyDescent="0.3">
      <c r="A67" s="28"/>
      <c r="B67" s="14"/>
      <c r="C67" s="10"/>
      <c r="D67" s="9" t="s">
        <v>154</v>
      </c>
      <c r="E67" s="4" t="s">
        <v>120</v>
      </c>
      <c r="F67" s="4" t="str">
        <f>VLOOKUP(E67, 映射表!$A$2:$B$5, 2, 0)</f>
        <v>number_range</v>
      </c>
      <c r="G67" s="3" t="s">
        <v>210</v>
      </c>
      <c r="H67" t="s">
        <v>130</v>
      </c>
    </row>
    <row r="68" spans="1:8" ht="16.5" x14ac:dyDescent="0.3">
      <c r="A68" s="28"/>
      <c r="B68" s="14"/>
      <c r="C68" s="10"/>
      <c r="D68" s="9" t="s">
        <v>155</v>
      </c>
      <c r="E68" s="4" t="s">
        <v>120</v>
      </c>
      <c r="F68" s="4" t="str">
        <f>VLOOKUP(E68, 映射表!$A$2:$B$5, 2, 0)</f>
        <v>number_range</v>
      </c>
      <c r="G68" s="3" t="s">
        <v>211</v>
      </c>
      <c r="H68" t="s">
        <v>130</v>
      </c>
    </row>
    <row r="69" spans="1:8" ht="16.5" x14ac:dyDescent="0.3">
      <c r="A69" s="28"/>
      <c r="B69" s="14"/>
      <c r="C69" s="10"/>
      <c r="D69" s="9" t="s">
        <v>156</v>
      </c>
      <c r="E69" s="4" t="s">
        <v>120</v>
      </c>
      <c r="F69" s="4" t="str">
        <f>VLOOKUP(E69, 映射表!$A$2:$B$5, 2, 0)</f>
        <v>number_range</v>
      </c>
      <c r="G69" s="3" t="s">
        <v>212</v>
      </c>
      <c r="H69" t="s">
        <v>130</v>
      </c>
    </row>
    <row r="70" spans="1:8" ht="16.5" x14ac:dyDescent="0.3">
      <c r="A70" s="28"/>
      <c r="B70" s="16"/>
      <c r="C70" s="10" t="s">
        <v>71</v>
      </c>
      <c r="D70" s="9" t="s">
        <v>157</v>
      </c>
      <c r="E70" s="4" t="s">
        <v>120</v>
      </c>
      <c r="F70" s="4" t="str">
        <f>VLOOKUP(E70, 映射表!$A$2:$B$5, 2, 0)</f>
        <v>number_range</v>
      </c>
      <c r="G70" s="3" t="s">
        <v>213</v>
      </c>
      <c r="H70" t="s">
        <v>130</v>
      </c>
    </row>
    <row r="71" spans="1:8" ht="16.5" x14ac:dyDescent="0.3">
      <c r="A71" s="28"/>
      <c r="B71" s="14"/>
      <c r="C71" s="10"/>
      <c r="D71" s="9" t="s">
        <v>158</v>
      </c>
      <c r="E71" s="4" t="s">
        <v>120</v>
      </c>
      <c r="F71" s="4" t="str">
        <f>VLOOKUP(E71, 映射表!$A$2:$B$5, 2, 0)</f>
        <v>number_range</v>
      </c>
      <c r="G71" s="3" t="s">
        <v>214</v>
      </c>
      <c r="H71" t="s">
        <v>130</v>
      </c>
    </row>
    <row r="72" spans="1:8" ht="16.5" x14ac:dyDescent="0.3">
      <c r="A72" s="28"/>
      <c r="B72" s="14"/>
      <c r="C72" s="10"/>
      <c r="D72" s="9" t="s">
        <v>159</v>
      </c>
      <c r="E72" s="4" t="s">
        <v>120</v>
      </c>
      <c r="F72" s="4" t="str">
        <f>VLOOKUP(E72, 映射表!$A$2:$B$5, 2, 0)</f>
        <v>number_range</v>
      </c>
      <c r="G72" s="3" t="s">
        <v>215</v>
      </c>
      <c r="H72" t="s">
        <v>130</v>
      </c>
    </row>
    <row r="73" spans="1:8" ht="16.5" x14ac:dyDescent="0.3">
      <c r="A73" s="28"/>
      <c r="B73" s="14"/>
      <c r="C73" s="10"/>
      <c r="D73" s="9" t="s">
        <v>160</v>
      </c>
      <c r="E73" s="4" t="s">
        <v>120</v>
      </c>
      <c r="F73" s="4" t="str">
        <f>VLOOKUP(E73, 映射表!$A$2:$B$5, 2, 0)</f>
        <v>number_range</v>
      </c>
      <c r="G73" s="3" t="s">
        <v>216</v>
      </c>
      <c r="H73" t="s">
        <v>130</v>
      </c>
    </row>
    <row r="74" spans="1:8" ht="16.5" x14ac:dyDescent="0.3">
      <c r="A74" s="28"/>
      <c r="B74" s="14"/>
      <c r="C74" s="10"/>
      <c r="D74" s="9" t="s">
        <v>161</v>
      </c>
      <c r="E74" s="4" t="s">
        <v>120</v>
      </c>
      <c r="F74" s="4" t="str">
        <f>VLOOKUP(E74, 映射表!$A$2:$B$5, 2, 0)</f>
        <v>number_range</v>
      </c>
      <c r="G74" s="3" t="s">
        <v>217</v>
      </c>
      <c r="H74" t="s">
        <v>130</v>
      </c>
    </row>
    <row r="75" spans="1:8" ht="16.5" x14ac:dyDescent="0.3">
      <c r="A75" s="28"/>
      <c r="B75" s="14"/>
      <c r="C75" s="10"/>
      <c r="D75" s="9" t="s">
        <v>162</v>
      </c>
      <c r="E75" s="4" t="s">
        <v>120</v>
      </c>
      <c r="F75" s="4" t="str">
        <f>VLOOKUP(E75, 映射表!$A$2:$B$5, 2, 0)</f>
        <v>number_range</v>
      </c>
      <c r="G75" s="3" t="s">
        <v>218</v>
      </c>
      <c r="H75" t="s">
        <v>130</v>
      </c>
    </row>
    <row r="76" spans="1:8" ht="16.5" x14ac:dyDescent="0.3">
      <c r="A76" s="28"/>
      <c r="B76" s="14"/>
      <c r="C76" s="10"/>
      <c r="D76" s="9" t="s">
        <v>163</v>
      </c>
      <c r="E76" s="4" t="s">
        <v>120</v>
      </c>
      <c r="F76" s="4" t="str">
        <f>VLOOKUP(E76, 映射表!$A$2:$B$5, 2, 0)</f>
        <v>number_range</v>
      </c>
      <c r="G76" s="3" t="s">
        <v>219</v>
      </c>
      <c r="H76" t="s">
        <v>130</v>
      </c>
    </row>
    <row r="77" spans="1:8" ht="16.5" x14ac:dyDescent="0.3">
      <c r="A77" s="28"/>
      <c r="B77" s="14"/>
      <c r="C77" s="26" t="s">
        <v>72</v>
      </c>
      <c r="D77" s="9" t="s">
        <v>164</v>
      </c>
      <c r="E77" s="4" t="s">
        <v>120</v>
      </c>
      <c r="F77" s="4" t="str">
        <f>VLOOKUP(E77, 映射表!$A$2:$B$5, 2, 0)</f>
        <v>number_range</v>
      </c>
      <c r="G77" s="3" t="s">
        <v>220</v>
      </c>
      <c r="H77" t="s">
        <v>130</v>
      </c>
    </row>
    <row r="78" spans="1:8" ht="16.5" x14ac:dyDescent="0.3">
      <c r="A78" s="28"/>
      <c r="B78" s="14"/>
      <c r="C78" s="26"/>
      <c r="D78" s="9" t="s">
        <v>165</v>
      </c>
      <c r="E78" s="4" t="s">
        <v>120</v>
      </c>
      <c r="F78" s="4" t="str">
        <f>VLOOKUP(E78, 映射表!$A$2:$B$5, 2, 0)</f>
        <v>number_range</v>
      </c>
      <c r="G78" s="3" t="s">
        <v>221</v>
      </c>
      <c r="H78" t="s">
        <v>130</v>
      </c>
    </row>
    <row r="79" spans="1:8" ht="16.5" x14ac:dyDescent="0.3">
      <c r="A79" s="28"/>
      <c r="B79" s="14"/>
      <c r="C79" s="26"/>
      <c r="D79" s="9" t="s">
        <v>73</v>
      </c>
      <c r="E79" s="4" t="s">
        <v>119</v>
      </c>
      <c r="F79" s="4" t="str">
        <f>VLOOKUP(E79, 映射表!$A$2:$B$5, 2, 0)</f>
        <v>boolean_equal</v>
      </c>
      <c r="G79" s="3" t="s">
        <v>187</v>
      </c>
      <c r="H79" t="s">
        <v>130</v>
      </c>
    </row>
    <row r="80" spans="1:8" ht="16.5" x14ac:dyDescent="0.3">
      <c r="A80" s="28"/>
      <c r="B80" s="14"/>
      <c r="C80" s="26"/>
      <c r="D80" s="9" t="s">
        <v>166</v>
      </c>
      <c r="E80" s="4" t="s">
        <v>120</v>
      </c>
      <c r="F80" s="4" t="str">
        <f>VLOOKUP(E80, 映射表!$A$2:$B$5, 2, 0)</f>
        <v>number_range</v>
      </c>
      <c r="G80" s="3" t="s">
        <v>220</v>
      </c>
      <c r="H80" t="s">
        <v>130</v>
      </c>
    </row>
    <row r="81" spans="1:8" ht="16.5" x14ac:dyDescent="0.3">
      <c r="A81" s="28"/>
      <c r="B81" s="14"/>
      <c r="C81" s="26"/>
      <c r="D81" s="9" t="s">
        <v>74</v>
      </c>
      <c r="E81" s="4" t="s">
        <v>119</v>
      </c>
      <c r="F81" s="4" t="str">
        <f>VLOOKUP(E81, 映射表!$A$2:$B$5, 2, 0)</f>
        <v>boolean_equal</v>
      </c>
      <c r="G81" s="3" t="s">
        <v>187</v>
      </c>
      <c r="H81" t="s">
        <v>130</v>
      </c>
    </row>
    <row r="82" spans="1:8" ht="16.5" x14ac:dyDescent="0.3">
      <c r="A82" s="28"/>
      <c r="B82" s="14"/>
      <c r="C82" s="26"/>
      <c r="D82" s="9" t="s">
        <v>75</v>
      </c>
      <c r="E82" s="4" t="s">
        <v>119</v>
      </c>
      <c r="F82" s="4" t="str">
        <f>VLOOKUP(E82, 映射表!$A$2:$B$5, 2, 0)</f>
        <v>boolean_equal</v>
      </c>
      <c r="G82" s="3" t="s">
        <v>187</v>
      </c>
      <c r="H82" t="s">
        <v>130</v>
      </c>
    </row>
    <row r="83" spans="1:8" ht="16.5" x14ac:dyDescent="0.3">
      <c r="A83" s="28"/>
      <c r="B83" s="14"/>
      <c r="C83" s="27" t="s">
        <v>76</v>
      </c>
      <c r="D83" s="21" t="s">
        <v>167</v>
      </c>
      <c r="E83" s="4" t="s">
        <v>120</v>
      </c>
      <c r="F83" s="4" t="str">
        <f>VLOOKUP(E83, 映射表!$A$2:$B$5, 2, 0)</f>
        <v>number_range</v>
      </c>
      <c r="G83" s="3" t="s">
        <v>221</v>
      </c>
      <c r="H83" t="s">
        <v>130</v>
      </c>
    </row>
    <row r="84" spans="1:8" ht="16.5" x14ac:dyDescent="0.3">
      <c r="A84" s="28"/>
      <c r="B84" s="14"/>
      <c r="C84" s="27"/>
      <c r="D84" s="21" t="s">
        <v>168</v>
      </c>
      <c r="E84" s="4" t="s">
        <v>120</v>
      </c>
      <c r="F84" s="4" t="str">
        <f>VLOOKUP(E84, 映射表!$A$2:$B$5, 2, 0)</f>
        <v>number_range</v>
      </c>
      <c r="G84" s="3" t="s">
        <v>221</v>
      </c>
      <c r="H84" t="s">
        <v>130</v>
      </c>
    </row>
    <row r="85" spans="1:8" ht="16.5" x14ac:dyDescent="0.3">
      <c r="A85" s="28"/>
      <c r="B85" s="14"/>
      <c r="C85" s="27"/>
      <c r="D85" s="21" t="s">
        <v>169</v>
      </c>
      <c r="E85" s="4" t="s">
        <v>120</v>
      </c>
      <c r="F85" s="4" t="str">
        <f>VLOOKUP(E85, 映射表!$A$2:$B$5, 2, 0)</f>
        <v>number_range</v>
      </c>
      <c r="G85" s="3" t="s">
        <v>221</v>
      </c>
      <c r="H85" t="s">
        <v>130</v>
      </c>
    </row>
    <row r="86" spans="1:8" ht="16.5" x14ac:dyDescent="0.3">
      <c r="A86" s="28"/>
      <c r="B86" s="14"/>
      <c r="C86" s="25" t="s">
        <v>77</v>
      </c>
      <c r="D86" s="9" t="s">
        <v>78</v>
      </c>
      <c r="E86" s="4" t="s">
        <v>119</v>
      </c>
      <c r="F86" s="4" t="str">
        <f>VLOOKUP(E86, 映射表!$A$2:$B$5, 2, 0)</f>
        <v>boolean_equal</v>
      </c>
      <c r="G86" s="3" t="s">
        <v>187</v>
      </c>
      <c r="H86" t="s">
        <v>130</v>
      </c>
    </row>
    <row r="87" spans="1:8" ht="16.5" x14ac:dyDescent="0.3">
      <c r="A87" s="28"/>
      <c r="B87" s="14"/>
      <c r="C87" s="25" t="s">
        <v>79</v>
      </c>
      <c r="D87" s="9" t="s">
        <v>80</v>
      </c>
      <c r="E87" s="4" t="s">
        <v>119</v>
      </c>
      <c r="F87" s="4" t="str">
        <f>VLOOKUP(E87, 映射表!$A$2:$B$5, 2, 0)</f>
        <v>boolean_equal</v>
      </c>
      <c r="G87" s="3" t="s">
        <v>187</v>
      </c>
      <c r="H87" t="s">
        <v>130</v>
      </c>
    </row>
    <row r="88" spans="1:8" ht="16.5" x14ac:dyDescent="0.3">
      <c r="A88" s="28"/>
      <c r="B88" s="14"/>
      <c r="C88" s="25" t="s">
        <v>81</v>
      </c>
      <c r="D88" s="9" t="s">
        <v>82</v>
      </c>
      <c r="E88" s="4" t="s">
        <v>119</v>
      </c>
      <c r="F88" s="4" t="str">
        <f>VLOOKUP(E88, 映射表!$A$2:$B$5, 2, 0)</f>
        <v>boolean_equal</v>
      </c>
      <c r="G88" s="3" t="s">
        <v>187</v>
      </c>
      <c r="H88" t="s">
        <v>130</v>
      </c>
    </row>
    <row r="89" spans="1:8" ht="16.5" x14ac:dyDescent="0.3">
      <c r="A89" s="28"/>
      <c r="B89" s="14"/>
      <c r="C89" s="25"/>
      <c r="D89" s="9" t="s">
        <v>83</v>
      </c>
      <c r="E89" s="4" t="s">
        <v>119</v>
      </c>
      <c r="F89" s="4" t="str">
        <f>VLOOKUP(E89, 映射表!$A$2:$B$5, 2, 0)</f>
        <v>boolean_equal</v>
      </c>
      <c r="G89" s="3" t="s">
        <v>187</v>
      </c>
      <c r="H89" t="s">
        <v>130</v>
      </c>
    </row>
    <row r="90" spans="1:8" ht="16.5" x14ac:dyDescent="0.3">
      <c r="A90" s="28"/>
      <c r="B90" s="23" t="s">
        <v>84</v>
      </c>
      <c r="C90" s="25" t="s">
        <v>85</v>
      </c>
      <c r="D90" s="9" t="s">
        <v>86</v>
      </c>
      <c r="E90" s="4" t="s">
        <v>119</v>
      </c>
      <c r="F90" s="4" t="str">
        <f>VLOOKUP(E90, 映射表!$A$2:$B$5, 2, 0)</f>
        <v>boolean_equal</v>
      </c>
      <c r="G90" s="3" t="s">
        <v>187</v>
      </c>
      <c r="H90" t="s">
        <v>130</v>
      </c>
    </row>
    <row r="91" spans="1:8" ht="16.5" x14ac:dyDescent="0.3">
      <c r="A91" s="28"/>
      <c r="B91" s="16"/>
      <c r="C91" s="25"/>
      <c r="D91" s="9" t="s">
        <v>87</v>
      </c>
      <c r="E91" s="4" t="s">
        <v>119</v>
      </c>
      <c r="F91" s="4" t="str">
        <f>VLOOKUP(E91, 映射表!$A$2:$B$5, 2, 0)</f>
        <v>boolean_equal</v>
      </c>
      <c r="G91" s="3" t="s">
        <v>187</v>
      </c>
      <c r="H91" t="s">
        <v>130</v>
      </c>
    </row>
    <row r="92" spans="1:8" ht="16.5" x14ac:dyDescent="0.3">
      <c r="A92" s="28"/>
      <c r="B92" s="16"/>
      <c r="C92" s="25" t="s">
        <v>88</v>
      </c>
      <c r="D92" s="9" t="s">
        <v>89</v>
      </c>
      <c r="E92" s="4" t="s">
        <v>119</v>
      </c>
      <c r="F92" s="4" t="str">
        <f>VLOOKUP(E92, 映射表!$A$2:$B$5, 2, 0)</f>
        <v>boolean_equal</v>
      </c>
      <c r="G92" s="3" t="s">
        <v>187</v>
      </c>
      <c r="H92" t="s">
        <v>130</v>
      </c>
    </row>
    <row r="93" spans="1:8" ht="16.5" x14ac:dyDescent="0.3">
      <c r="A93" s="28"/>
      <c r="B93" s="16"/>
      <c r="C93" s="25"/>
      <c r="D93" s="9" t="s">
        <v>90</v>
      </c>
      <c r="E93" s="4" t="s">
        <v>119</v>
      </c>
      <c r="F93" s="4" t="str">
        <f>VLOOKUP(E93, 映射表!$A$2:$B$5, 2, 0)</f>
        <v>boolean_equal</v>
      </c>
      <c r="G93" s="3" t="s">
        <v>187</v>
      </c>
      <c r="H93" t="s">
        <v>130</v>
      </c>
    </row>
    <row r="94" spans="1:8" ht="16.5" x14ac:dyDescent="0.3">
      <c r="A94" s="28"/>
      <c r="B94" s="16"/>
      <c r="C94" s="25"/>
      <c r="D94" s="9" t="s">
        <v>91</v>
      </c>
      <c r="E94" s="4" t="s">
        <v>119</v>
      </c>
      <c r="F94" s="4" t="str">
        <f>VLOOKUP(E94, 映射表!$A$2:$B$5, 2, 0)</f>
        <v>boolean_equal</v>
      </c>
      <c r="G94" s="3" t="s">
        <v>187</v>
      </c>
      <c r="H94" t="s">
        <v>130</v>
      </c>
    </row>
    <row r="95" spans="1:8" ht="16.5" x14ac:dyDescent="0.3">
      <c r="A95" s="28"/>
      <c r="B95" s="16"/>
      <c r="C95" s="25"/>
      <c r="D95" s="9" t="s">
        <v>92</v>
      </c>
      <c r="E95" s="4" t="s">
        <v>119</v>
      </c>
      <c r="F95" s="4" t="str">
        <f>VLOOKUP(E95, 映射表!$A$2:$B$5, 2, 0)</f>
        <v>boolean_equal</v>
      </c>
      <c r="G95" s="3" t="s">
        <v>187</v>
      </c>
      <c r="H95" t="s">
        <v>130</v>
      </c>
    </row>
    <row r="96" spans="1:8" ht="16.5" x14ac:dyDescent="0.3">
      <c r="A96" s="28"/>
      <c r="B96" s="16"/>
      <c r="C96" s="25" t="s">
        <v>93</v>
      </c>
      <c r="D96" s="9" t="s">
        <v>170</v>
      </c>
      <c r="E96" s="4" t="s">
        <v>120</v>
      </c>
      <c r="F96" s="4" t="str">
        <f>VLOOKUP(E96, 映射表!$A$2:$B$5, 2, 0)</f>
        <v>number_range</v>
      </c>
      <c r="G96" s="3" t="s">
        <v>221</v>
      </c>
      <c r="H96" t="s">
        <v>130</v>
      </c>
    </row>
    <row r="97" spans="1:8" ht="16.5" x14ac:dyDescent="0.3">
      <c r="A97" s="28"/>
      <c r="B97" s="16"/>
      <c r="C97" s="25"/>
      <c r="D97" s="9" t="s">
        <v>171</v>
      </c>
      <c r="E97" s="4" t="s">
        <v>120</v>
      </c>
      <c r="F97" s="4" t="str">
        <f>VLOOKUP(E97, 映射表!$A$2:$B$5, 2, 0)</f>
        <v>number_range</v>
      </c>
      <c r="G97" s="3" t="s">
        <v>221</v>
      </c>
      <c r="H97" t="s">
        <v>130</v>
      </c>
    </row>
    <row r="98" spans="1:8" ht="16.5" x14ac:dyDescent="0.3">
      <c r="A98" s="28"/>
      <c r="B98" s="16"/>
      <c r="C98" s="25" t="s">
        <v>7</v>
      </c>
      <c r="D98" s="9" t="s">
        <v>8</v>
      </c>
      <c r="E98" s="4" t="s">
        <v>119</v>
      </c>
      <c r="F98" s="4" t="str">
        <f>VLOOKUP(E98, 映射表!$A$2:$B$5, 2, 0)</f>
        <v>boolean_equal</v>
      </c>
      <c r="G98" s="3" t="s">
        <v>187</v>
      </c>
      <c r="H98" t="s">
        <v>130</v>
      </c>
    </row>
    <row r="99" spans="1:8" ht="16.5" x14ac:dyDescent="0.3">
      <c r="A99" s="28"/>
      <c r="B99" s="16"/>
      <c r="C99" s="25"/>
      <c r="D99" s="9" t="s">
        <v>9</v>
      </c>
      <c r="E99" s="4" t="s">
        <v>119</v>
      </c>
      <c r="F99" s="4" t="str">
        <f>VLOOKUP(E99, 映射表!$A$2:$B$5, 2, 0)</f>
        <v>boolean_equal</v>
      </c>
      <c r="G99" s="3" t="s">
        <v>187</v>
      </c>
      <c r="H99" t="s">
        <v>130</v>
      </c>
    </row>
    <row r="100" spans="1:8" ht="16.5" x14ac:dyDescent="0.3">
      <c r="A100" s="28"/>
      <c r="B100" s="16"/>
      <c r="C100" s="25"/>
      <c r="D100" s="9" t="s">
        <v>10</v>
      </c>
      <c r="E100" s="4" t="s">
        <v>119</v>
      </c>
      <c r="F100" s="4" t="str">
        <f>VLOOKUP(E100, 映射表!$A$2:$B$5, 2, 0)</f>
        <v>boolean_equal</v>
      </c>
      <c r="G100" s="3" t="s">
        <v>187</v>
      </c>
      <c r="H100" t="s">
        <v>130</v>
      </c>
    </row>
    <row r="101" spans="1:8" ht="16.5" x14ac:dyDescent="0.3">
      <c r="A101" s="28"/>
      <c r="B101" s="16"/>
      <c r="C101" s="25" t="s">
        <v>11</v>
      </c>
      <c r="D101" s="9" t="s">
        <v>12</v>
      </c>
      <c r="E101" s="4" t="s">
        <v>119</v>
      </c>
      <c r="F101" s="4" t="str">
        <f>VLOOKUP(E101, 映射表!$A$2:$B$5, 2, 0)</f>
        <v>boolean_equal</v>
      </c>
      <c r="G101" s="3" t="s">
        <v>187</v>
      </c>
      <c r="H101" t="s">
        <v>130</v>
      </c>
    </row>
    <row r="102" spans="1:8" ht="16.5" x14ac:dyDescent="0.3">
      <c r="A102" s="28"/>
      <c r="B102" s="16"/>
      <c r="C102" s="25"/>
      <c r="D102" s="9" t="s">
        <v>13</v>
      </c>
      <c r="E102" s="4" t="s">
        <v>119</v>
      </c>
      <c r="F102" s="4" t="str">
        <f>VLOOKUP(E102, 映射表!$A$2:$B$5, 2, 0)</f>
        <v>boolean_equal</v>
      </c>
      <c r="G102" s="3" t="s">
        <v>187</v>
      </c>
      <c r="H102" t="s">
        <v>130</v>
      </c>
    </row>
    <row r="103" spans="1:8" ht="16.5" x14ac:dyDescent="0.3">
      <c r="A103" s="28"/>
      <c r="B103" s="14"/>
      <c r="C103" s="25" t="s">
        <v>14</v>
      </c>
      <c r="D103" s="9" t="s">
        <v>15</v>
      </c>
      <c r="E103" s="4" t="s">
        <v>119</v>
      </c>
      <c r="F103" s="4" t="str">
        <f>VLOOKUP(E103, 映射表!$A$2:$B$5, 2, 0)</f>
        <v>boolean_equal</v>
      </c>
      <c r="G103" s="3" t="s">
        <v>187</v>
      </c>
      <c r="H103" t="s">
        <v>130</v>
      </c>
    </row>
    <row r="104" spans="1:8" ht="16.5" x14ac:dyDescent="0.3">
      <c r="A104" s="28"/>
      <c r="B104" s="14"/>
      <c r="C104" s="25"/>
      <c r="D104" s="9" t="s">
        <v>16</v>
      </c>
      <c r="E104" s="4" t="s">
        <v>119</v>
      </c>
      <c r="F104" s="4" t="str">
        <f>VLOOKUP(E104, 映射表!$A$2:$B$5, 2, 0)</f>
        <v>boolean_equal</v>
      </c>
      <c r="G104" s="3" t="s">
        <v>187</v>
      </c>
      <c r="H104" t="s">
        <v>130</v>
      </c>
    </row>
    <row r="105" spans="1:8" ht="16.5" x14ac:dyDescent="0.3">
      <c r="A105" s="28"/>
      <c r="B105" s="14"/>
      <c r="C105" s="25"/>
      <c r="D105" s="9" t="s">
        <v>17</v>
      </c>
      <c r="E105" s="4" t="s">
        <v>119</v>
      </c>
      <c r="F105" s="4" t="str">
        <f>VLOOKUP(E105, 映射表!$A$2:$B$5, 2, 0)</f>
        <v>boolean_equal</v>
      </c>
      <c r="G105" s="3" t="s">
        <v>187</v>
      </c>
      <c r="H105" t="s">
        <v>130</v>
      </c>
    </row>
    <row r="106" spans="1:8" ht="16.5" x14ac:dyDescent="0.3">
      <c r="A106" s="28"/>
      <c r="B106" s="14"/>
      <c r="C106" s="25" t="s">
        <v>18</v>
      </c>
      <c r="D106" s="9" t="s">
        <v>19</v>
      </c>
      <c r="E106" s="4" t="s">
        <v>119</v>
      </c>
      <c r="F106" s="4" t="str">
        <f>VLOOKUP(E106, 映射表!$A$2:$B$5, 2, 0)</f>
        <v>boolean_equal</v>
      </c>
      <c r="G106" s="3" t="s">
        <v>187</v>
      </c>
      <c r="H106" t="s">
        <v>130</v>
      </c>
    </row>
    <row r="107" spans="1:8" ht="16.5" x14ac:dyDescent="0.3">
      <c r="A107" s="28"/>
      <c r="B107" s="14"/>
      <c r="C107" s="25" t="s">
        <v>20</v>
      </c>
      <c r="D107" s="9" t="s">
        <v>94</v>
      </c>
      <c r="E107" s="4" t="s">
        <v>119</v>
      </c>
      <c r="F107" s="4" t="str">
        <f>VLOOKUP(E107, 映射表!$A$2:$B$5, 2, 0)</f>
        <v>boolean_equal</v>
      </c>
      <c r="G107" s="3" t="s">
        <v>187</v>
      </c>
      <c r="H107" t="s">
        <v>130</v>
      </c>
    </row>
    <row r="108" spans="1:8" ht="16.5" x14ac:dyDescent="0.3">
      <c r="A108" s="28"/>
      <c r="B108" s="14"/>
      <c r="C108" s="25"/>
      <c r="D108" s="9" t="s">
        <v>95</v>
      </c>
      <c r="E108" s="4" t="s">
        <v>119</v>
      </c>
      <c r="F108" s="4" t="str">
        <f>VLOOKUP(E108, 映射表!$A$2:$B$5, 2, 0)</f>
        <v>boolean_equal</v>
      </c>
      <c r="G108" s="3" t="s">
        <v>187</v>
      </c>
      <c r="H108" t="s">
        <v>130</v>
      </c>
    </row>
    <row r="109" spans="1:8" ht="16.5" x14ac:dyDescent="0.3">
      <c r="A109" s="28"/>
      <c r="B109" s="14"/>
      <c r="C109" s="25"/>
      <c r="D109" s="9" t="s">
        <v>96</v>
      </c>
      <c r="E109" s="4" t="s">
        <v>119</v>
      </c>
      <c r="F109" s="4" t="str">
        <f>VLOOKUP(E109, 映射表!$A$2:$B$5, 2, 0)</f>
        <v>boolean_equal</v>
      </c>
      <c r="G109" s="3" t="s">
        <v>187</v>
      </c>
      <c r="H109" t="s">
        <v>130</v>
      </c>
    </row>
    <row r="110" spans="1:8" ht="16.5" x14ac:dyDescent="0.3">
      <c r="A110" s="28"/>
      <c r="B110" s="14"/>
      <c r="C110" s="25"/>
      <c r="D110" s="9" t="s">
        <v>97</v>
      </c>
      <c r="E110" s="4" t="s">
        <v>119</v>
      </c>
      <c r="F110" s="4" t="str">
        <f>VLOOKUP(E110, 映射表!$A$2:$B$5, 2, 0)</f>
        <v>boolean_equal</v>
      </c>
      <c r="G110" s="3" t="s">
        <v>187</v>
      </c>
      <c r="H110" t="s">
        <v>130</v>
      </c>
    </row>
    <row r="111" spans="1:8" ht="16.5" x14ac:dyDescent="0.3">
      <c r="A111" s="28"/>
      <c r="B111" s="14"/>
      <c r="C111" s="25"/>
      <c r="D111" s="9" t="s">
        <v>98</v>
      </c>
      <c r="E111" s="4" t="s">
        <v>119</v>
      </c>
      <c r="F111" s="4" t="str">
        <f>VLOOKUP(E111, 映射表!$A$2:$B$5, 2, 0)</f>
        <v>boolean_equal</v>
      </c>
      <c r="G111" s="3" t="s">
        <v>187</v>
      </c>
      <c r="H111" t="s">
        <v>130</v>
      </c>
    </row>
    <row r="112" spans="1:8" ht="16.5" x14ac:dyDescent="0.3">
      <c r="A112" s="28"/>
      <c r="B112" s="14"/>
      <c r="C112" s="25"/>
      <c r="D112" s="9" t="s">
        <v>99</v>
      </c>
      <c r="E112" s="4" t="s">
        <v>119</v>
      </c>
      <c r="F112" s="4" t="str">
        <f>VLOOKUP(E112, 映射表!$A$2:$B$5, 2, 0)</f>
        <v>boolean_equal</v>
      </c>
      <c r="G112" s="3" t="s">
        <v>187</v>
      </c>
      <c r="H112" t="s">
        <v>130</v>
      </c>
    </row>
    <row r="113" spans="1:8" ht="16.5" x14ac:dyDescent="0.3">
      <c r="A113" s="28"/>
      <c r="B113" s="14"/>
      <c r="C113" s="25" t="s">
        <v>26</v>
      </c>
      <c r="D113" s="9" t="s">
        <v>27</v>
      </c>
      <c r="E113" s="4" t="s">
        <v>119</v>
      </c>
      <c r="F113" s="4" t="str">
        <f>VLOOKUP(E113, 映射表!$A$2:$B$5, 2, 0)</f>
        <v>boolean_equal</v>
      </c>
      <c r="G113" s="3" t="s">
        <v>187</v>
      </c>
      <c r="H113" t="s">
        <v>130</v>
      </c>
    </row>
    <row r="114" spans="1:8" ht="16.5" x14ac:dyDescent="0.3">
      <c r="A114" s="28"/>
      <c r="B114" s="14"/>
      <c r="C114" s="25"/>
      <c r="D114" s="9" t="s">
        <v>28</v>
      </c>
      <c r="E114" s="4" t="s">
        <v>119</v>
      </c>
      <c r="F114" s="4" t="str">
        <f>VLOOKUP(E114, 映射表!$A$2:$B$5, 2, 0)</f>
        <v>boolean_equal</v>
      </c>
      <c r="G114" s="3" t="s">
        <v>187</v>
      </c>
      <c r="H114" t="s">
        <v>130</v>
      </c>
    </row>
    <row r="115" spans="1:8" ht="16.5" x14ac:dyDescent="0.3">
      <c r="A115" s="28"/>
      <c r="B115" s="14"/>
      <c r="C115" s="25"/>
      <c r="D115" s="9" t="s">
        <v>29</v>
      </c>
      <c r="E115" s="4" t="s">
        <v>119</v>
      </c>
      <c r="F115" s="4" t="str">
        <f>VLOOKUP(E115, 映射表!$A$2:$B$5, 2, 0)</f>
        <v>boolean_equal</v>
      </c>
      <c r="G115" s="3" t="s">
        <v>187</v>
      </c>
      <c r="H115" t="s">
        <v>130</v>
      </c>
    </row>
    <row r="116" spans="1:8" ht="16.5" x14ac:dyDescent="0.3">
      <c r="A116" s="28"/>
      <c r="B116" s="14"/>
      <c r="C116" s="25"/>
      <c r="D116" s="9" t="s">
        <v>30</v>
      </c>
      <c r="E116" s="4" t="s">
        <v>119</v>
      </c>
      <c r="F116" s="4" t="str">
        <f>VLOOKUP(E116, 映射表!$A$2:$B$5, 2, 0)</f>
        <v>boolean_equal</v>
      </c>
      <c r="G116" s="3" t="s">
        <v>187</v>
      </c>
      <c r="H116" t="s">
        <v>130</v>
      </c>
    </row>
    <row r="117" spans="1:8" ht="16.5" x14ac:dyDescent="0.3">
      <c r="A117" s="28"/>
      <c r="B117" s="15"/>
      <c r="C117" s="25"/>
      <c r="D117" s="9" t="s">
        <v>31</v>
      </c>
      <c r="E117" s="4" t="s">
        <v>119</v>
      </c>
      <c r="F117" s="4" t="str">
        <f>VLOOKUP(E117, 映射表!$A$2:$B$5, 2, 0)</f>
        <v>boolean_equal</v>
      </c>
      <c r="G117" s="3" t="s">
        <v>187</v>
      </c>
      <c r="H117" t="s">
        <v>130</v>
      </c>
    </row>
    <row r="118" spans="1:8" ht="16.5" x14ac:dyDescent="0.3">
      <c r="A118" s="28"/>
      <c r="B118" s="24" t="s">
        <v>100</v>
      </c>
      <c r="C118" s="25" t="s">
        <v>101</v>
      </c>
      <c r="D118" s="9" t="s">
        <v>172</v>
      </c>
      <c r="E118" s="4" t="s">
        <v>120</v>
      </c>
      <c r="F118" s="4" t="str">
        <f>VLOOKUP(E118, 映射表!$A$2:$B$5, 2, 0)</f>
        <v>number_range</v>
      </c>
      <c r="G118" s="3" t="s">
        <v>221</v>
      </c>
      <c r="H118" t="s">
        <v>130</v>
      </c>
    </row>
    <row r="119" spans="1:8" ht="16.5" x14ac:dyDescent="0.3">
      <c r="A119" s="28"/>
      <c r="B119" s="16"/>
      <c r="C119" s="25"/>
      <c r="D119" s="9" t="s">
        <v>173</v>
      </c>
      <c r="E119" s="4" t="s">
        <v>120</v>
      </c>
      <c r="F119" s="4" t="str">
        <f>VLOOKUP(E119, 映射表!$A$2:$B$5, 2, 0)</f>
        <v>number_range</v>
      </c>
      <c r="G119" s="3" t="s">
        <v>221</v>
      </c>
      <c r="H119" t="s">
        <v>130</v>
      </c>
    </row>
    <row r="120" spans="1:8" ht="16.5" x14ac:dyDescent="0.3">
      <c r="A120" s="28"/>
      <c r="B120" s="14"/>
      <c r="C120" s="25" t="s">
        <v>102</v>
      </c>
      <c r="D120" s="9" t="s">
        <v>103</v>
      </c>
      <c r="E120" s="4" t="s">
        <v>119</v>
      </c>
      <c r="F120" s="4" t="str">
        <f>VLOOKUP(E120, 映射表!$A$2:$B$5, 2, 0)</f>
        <v>boolean_equal</v>
      </c>
      <c r="G120" s="3" t="s">
        <v>187</v>
      </c>
      <c r="H120" t="s">
        <v>130</v>
      </c>
    </row>
    <row r="121" spans="1:8" ht="16.5" x14ac:dyDescent="0.3">
      <c r="A121" s="28"/>
      <c r="B121" s="14"/>
      <c r="C121" s="25" t="s">
        <v>104</v>
      </c>
      <c r="D121" s="9" t="s">
        <v>105</v>
      </c>
      <c r="E121" s="4" t="s">
        <v>119</v>
      </c>
      <c r="F121" s="4" t="str">
        <f>VLOOKUP(E121, 映射表!$A$2:$B$5, 2, 0)</f>
        <v>boolean_equal</v>
      </c>
      <c r="G121" s="3" t="s">
        <v>187</v>
      </c>
      <c r="H121" t="s">
        <v>130</v>
      </c>
    </row>
    <row r="122" spans="1:8" ht="16.5" x14ac:dyDescent="0.3">
      <c r="A122" s="28"/>
      <c r="B122" s="14"/>
      <c r="C122" s="25" t="s">
        <v>106</v>
      </c>
      <c r="D122" s="9" t="s">
        <v>107</v>
      </c>
      <c r="E122" s="4" t="s">
        <v>119</v>
      </c>
      <c r="F122" s="4" t="str">
        <f>VLOOKUP(E122, 映射表!$A$2:$B$5, 2, 0)</f>
        <v>boolean_equal</v>
      </c>
      <c r="G122" s="3" t="s">
        <v>187</v>
      </c>
      <c r="H122" t="s">
        <v>130</v>
      </c>
    </row>
    <row r="123" spans="1:8" ht="16.5" x14ac:dyDescent="0.3">
      <c r="A123" s="28"/>
      <c r="B123" s="14"/>
      <c r="C123" s="25" t="s">
        <v>108</v>
      </c>
      <c r="D123" s="9" t="s">
        <v>109</v>
      </c>
      <c r="E123" s="4" t="s">
        <v>119</v>
      </c>
      <c r="F123" s="4" t="str">
        <f>VLOOKUP(E123, 映射表!$A$2:$B$5, 2, 0)</f>
        <v>boolean_equal</v>
      </c>
      <c r="G123" s="3" t="s">
        <v>187</v>
      </c>
      <c r="H123" t="s">
        <v>130</v>
      </c>
    </row>
    <row r="124" spans="1:8" ht="16.5" x14ac:dyDescent="0.3">
      <c r="A124" s="28"/>
      <c r="B124" s="14"/>
      <c r="C124" s="25"/>
      <c r="D124" s="9" t="s">
        <v>110</v>
      </c>
      <c r="E124" s="4" t="s">
        <v>119</v>
      </c>
      <c r="F124" s="4" t="str">
        <f>VLOOKUP(E124, 映射表!$A$2:$B$5, 2, 0)</f>
        <v>boolean_equal</v>
      </c>
      <c r="G124" s="3" t="s">
        <v>187</v>
      </c>
      <c r="H124" t="s">
        <v>130</v>
      </c>
    </row>
    <row r="125" spans="1:8" ht="16.5" x14ac:dyDescent="0.3">
      <c r="A125" s="28"/>
      <c r="B125" s="14"/>
      <c r="C125" s="25"/>
      <c r="D125" s="9" t="s">
        <v>174</v>
      </c>
      <c r="E125" s="4" t="s">
        <v>120</v>
      </c>
      <c r="F125" s="4" t="str">
        <f>VLOOKUP(E125, 映射表!$A$2:$B$5, 2, 0)</f>
        <v>number_range</v>
      </c>
      <c r="G125" s="3" t="s">
        <v>221</v>
      </c>
      <c r="H125" t="s">
        <v>130</v>
      </c>
    </row>
    <row r="126" spans="1:8" ht="16.5" x14ac:dyDescent="0.3">
      <c r="A126" s="28"/>
      <c r="B126" s="14"/>
      <c r="C126" s="25" t="s">
        <v>111</v>
      </c>
      <c r="D126" s="9" t="s">
        <v>175</v>
      </c>
      <c r="E126" s="4" t="s">
        <v>120</v>
      </c>
      <c r="F126" s="4" t="str">
        <f>VLOOKUP(E126, 映射表!$A$2:$B$5, 2, 0)</f>
        <v>number_range</v>
      </c>
      <c r="G126" s="3" t="s">
        <v>221</v>
      </c>
      <c r="H126" t="s">
        <v>130</v>
      </c>
    </row>
    <row r="127" spans="1:8" ht="16.5" x14ac:dyDescent="0.3">
      <c r="A127" s="28"/>
      <c r="B127" s="14"/>
      <c r="C127" s="25"/>
      <c r="D127" s="9" t="s">
        <v>112</v>
      </c>
      <c r="E127" s="4" t="s">
        <v>119</v>
      </c>
      <c r="F127" s="4" t="str">
        <f>VLOOKUP(E127, 映射表!$A$2:$B$5, 2, 0)</f>
        <v>boolean_equal</v>
      </c>
      <c r="G127" s="3" t="s">
        <v>187</v>
      </c>
      <c r="H127" t="s">
        <v>130</v>
      </c>
    </row>
    <row r="128" spans="1:8" ht="16.5" x14ac:dyDescent="0.3">
      <c r="A128" s="29"/>
      <c r="B128" s="14"/>
      <c r="C128" s="25" t="s">
        <v>113</v>
      </c>
      <c r="D128" s="9" t="s">
        <v>114</v>
      </c>
      <c r="E128" s="4" t="s">
        <v>119</v>
      </c>
      <c r="F128" s="4" t="str">
        <f>VLOOKUP(E128, 映射表!$A$2:$B$5, 2, 0)</f>
        <v>boolean_equal</v>
      </c>
      <c r="G128" s="3" t="s">
        <v>187</v>
      </c>
      <c r="H128" t="s">
        <v>130</v>
      </c>
    </row>
    <row r="129" spans="1:8" ht="16.5" x14ac:dyDescent="0.3">
      <c r="A129" s="30"/>
      <c r="B129" s="14"/>
      <c r="C129" s="12"/>
      <c r="D129" s="9" t="s">
        <v>115</v>
      </c>
      <c r="E129" s="4" t="s">
        <v>119</v>
      </c>
      <c r="F129" s="4" t="str">
        <f>VLOOKUP(E129, 映射表!$A$2:$B$5, 2, 0)</f>
        <v>boolean_equal</v>
      </c>
      <c r="G129" s="3" t="s">
        <v>187</v>
      </c>
      <c r="H129" t="s">
        <v>130</v>
      </c>
    </row>
    <row r="130" spans="1:8" ht="16.5" x14ac:dyDescent="0.3">
      <c r="A130" s="31"/>
      <c r="B130" s="15"/>
      <c r="C130" s="15"/>
      <c r="D130" s="9" t="s">
        <v>116</v>
      </c>
      <c r="E130" s="4" t="s">
        <v>119</v>
      </c>
      <c r="F130" s="4" t="str">
        <f>VLOOKUP(E130, 映射表!$A$2:$B$5, 2, 0)</f>
        <v>boolean_equal</v>
      </c>
      <c r="G130" s="3" t="s">
        <v>187</v>
      </c>
      <c r="H130" t="s">
        <v>130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D26AE5-6828-455E-B391-5927ED649682}">
          <x14:formula1>
            <xm:f>映射表!$A$2:$A$5</xm:f>
          </x14:formula1>
          <xm:sqref>E1:E1048576</xm:sqref>
        </x14:dataValidation>
        <x14:dataValidation type="list" allowBlank="1" showInputMessage="1" showErrorMessage="1" xr:uid="{7ADF9B88-ABD9-4C2F-8146-1BE837D3EA67}">
          <x14:formula1>
            <xm:f>映射表!$C$2:$C$3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46678-0B69-4288-8B03-4133B07D6C3D}">
  <dimension ref="A1:C5"/>
  <sheetViews>
    <sheetView workbookViewId="0">
      <selection activeCell="G11" sqref="G11"/>
    </sheetView>
  </sheetViews>
  <sheetFormatPr defaultRowHeight="14.25" x14ac:dyDescent="0.2"/>
  <sheetData>
    <row r="1" spans="1:3" x14ac:dyDescent="0.2">
      <c r="A1" t="s">
        <v>178</v>
      </c>
      <c r="B1" t="s">
        <v>179</v>
      </c>
    </row>
    <row r="2" spans="1:3" ht="28.5" x14ac:dyDescent="0.2">
      <c r="A2" s="4" t="s">
        <v>119</v>
      </c>
      <c r="B2" s="4" t="s">
        <v>121</v>
      </c>
      <c r="C2" t="s">
        <v>130</v>
      </c>
    </row>
    <row r="3" spans="1:3" x14ac:dyDescent="0.2">
      <c r="A3" s="4" t="s">
        <v>120</v>
      </c>
      <c r="B3" s="3" t="s">
        <v>122</v>
      </c>
      <c r="C3" t="s">
        <v>184</v>
      </c>
    </row>
    <row r="4" spans="1:3" ht="28.5" x14ac:dyDescent="0.2">
      <c r="A4" s="4" t="s">
        <v>180</v>
      </c>
      <c r="B4" s="4" t="s">
        <v>181</v>
      </c>
    </row>
    <row r="5" spans="1:3" x14ac:dyDescent="0.2">
      <c r="A5" s="4" t="s">
        <v>182</v>
      </c>
      <c r="B5" s="3" t="s">
        <v>183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映射表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Cao, Wei Qun (DI CS SO CN-SE DS SCADA)</dc:creator>
  <cp:lastModifiedBy>Cao, Wei Qun (DI CS SO CN-SE DS SCADA)</cp:lastModifiedBy>
  <dcterms:created xsi:type="dcterms:W3CDTF">2015-06-05T18:19:34Z</dcterms:created>
  <dcterms:modified xsi:type="dcterms:W3CDTF">2026-05-20T01:14:08Z</dcterms:modified>
</cp:coreProperties>
</file>