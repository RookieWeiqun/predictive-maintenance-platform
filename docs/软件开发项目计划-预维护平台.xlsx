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siemens.sharepoint.com/teams/RG-CNDICSDCPSMDIG-InternalProjects/Shared Documents/202512_维护服务平台/"/>
    </mc:Choice>
  </mc:AlternateContent>
  <xr:revisionPtr revIDLastSave="1397" documentId="11_AD4DB114E441178AC67DF4636E53E588693EDF3F" xr6:coauthVersionLast="47" xr6:coauthVersionMax="47" xr10:uidLastSave="{A8F92DD6-1EF6-40DC-A967-2CCFC94761FE}"/>
  <bookViews>
    <workbookView xWindow="-120" yWindow="-120" windowWidth="29040" windowHeight="17520" tabRatio="571" activeTab="1" xr2:uid="{00000000-000D-0000-FFFF-FFFF00000000}"/>
  </bookViews>
  <sheets>
    <sheet name="Overview" sheetId="1" r:id="rId1"/>
    <sheet name="WBS" sheetId="2" r:id="rId2"/>
    <sheet name="Time Plan" sheetId="3" r:id="rId3"/>
    <sheet name="架构设计" sheetId="4" r:id="rId4"/>
    <sheet name="minute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J20" i="2"/>
  <c r="J25" i="2"/>
  <c r="G14" i="2"/>
  <c r="A7" i="3" s="1"/>
  <c r="A8" i="3"/>
  <c r="A9" i="3"/>
  <c r="A10" i="3"/>
  <c r="A11" i="3"/>
  <c r="A12" i="3"/>
  <c r="G20" i="2"/>
  <c r="A13" i="3" s="1"/>
  <c r="A14" i="3"/>
  <c r="A16" i="3"/>
  <c r="A17" i="3"/>
  <c r="G25" i="2"/>
  <c r="A18" i="3" s="1"/>
  <c r="A19" i="3"/>
  <c r="A20" i="3"/>
  <c r="A21" i="3"/>
  <c r="A22" i="3"/>
  <c r="A23" i="3"/>
  <c r="G33" i="2"/>
  <c r="G34" i="2"/>
  <c r="B8" i="3"/>
  <c r="C8" i="3"/>
  <c r="D8" i="3" s="1"/>
  <c r="B9" i="3"/>
  <c r="C9" i="3"/>
  <c r="D9" i="3"/>
  <c r="B10" i="3"/>
  <c r="C10" i="3"/>
  <c r="D10" i="3"/>
  <c r="B11" i="3"/>
  <c r="D11" i="3" s="1"/>
  <c r="C11" i="3"/>
  <c r="B12" i="3"/>
  <c r="C12" i="3"/>
  <c r="D12" i="3" s="1"/>
  <c r="B13" i="3"/>
  <c r="C13" i="3"/>
  <c r="B14" i="3"/>
  <c r="C14" i="3"/>
  <c r="D14" i="3" s="1"/>
  <c r="B15" i="3"/>
  <c r="C15" i="3"/>
  <c r="D15" i="3" s="1"/>
  <c r="B16" i="3"/>
  <c r="C16" i="3"/>
  <c r="B17" i="3"/>
  <c r="C17" i="3"/>
  <c r="B18" i="3"/>
  <c r="C18" i="3"/>
  <c r="D18" i="3" s="1"/>
  <c r="B19" i="3"/>
  <c r="C19" i="3"/>
  <c r="B20" i="3"/>
  <c r="C20" i="3"/>
  <c r="D20" i="3" s="1"/>
  <c r="B21" i="3"/>
  <c r="C21" i="3"/>
  <c r="D21" i="3"/>
  <c r="B22" i="3"/>
  <c r="C22" i="3"/>
  <c r="B23" i="3"/>
  <c r="C23" i="3"/>
  <c r="D23" i="3" s="1"/>
  <c r="B24" i="3"/>
  <c r="C24" i="3"/>
  <c r="D24" i="3" s="1"/>
  <c r="A15" i="3"/>
  <c r="H5" i="2"/>
  <c r="N1" i="3" s="1"/>
  <c r="B5" i="2"/>
  <c r="G1" i="3" s="1"/>
  <c r="J12" i="2"/>
  <c r="B2" i="3"/>
  <c r="C2" i="3"/>
  <c r="G7" i="2"/>
  <c r="A2" i="3" s="1"/>
  <c r="G35" i="2"/>
  <c r="G9" i="2"/>
  <c r="A4" i="3" s="1"/>
  <c r="A5" i="3"/>
  <c r="A6" i="3"/>
  <c r="G8" i="2"/>
  <c r="A3" i="3" s="1"/>
  <c r="J8" i="2"/>
  <c r="J9" i="2"/>
  <c r="J10" i="2"/>
  <c r="J13" i="2"/>
  <c r="J14" i="2"/>
  <c r="J7" i="2"/>
  <c r="B4" i="2"/>
  <c r="H4" i="2"/>
  <c r="C3" i="3"/>
  <c r="B4" i="3"/>
  <c r="C4" i="3"/>
  <c r="C5" i="3"/>
  <c r="C6" i="3"/>
  <c r="C7" i="3"/>
  <c r="B3" i="3"/>
  <c r="D13" i="3" l="1"/>
  <c r="D19" i="3"/>
  <c r="D17" i="3"/>
  <c r="D22" i="3"/>
  <c r="D16" i="3"/>
  <c r="D2" i="3"/>
  <c r="D4" i="3"/>
  <c r="B5" i="3"/>
  <c r="D5" i="3" s="1"/>
  <c r="D3" i="3"/>
  <c r="B6" i="3" l="1"/>
  <c r="D6" i="3" s="1"/>
  <c r="B7" i="3" l="1"/>
  <c r="D7" i="3" s="1"/>
</calcChain>
</file>

<file path=xl/sharedStrings.xml><?xml version="1.0" encoding="utf-8"?>
<sst xmlns="http://schemas.openxmlformats.org/spreadsheetml/2006/main" count="91" uniqueCount="79">
  <si>
    <t>合同号 
Contract No：</t>
  </si>
  <si>
    <t>序号No.</t>
  </si>
  <si>
    <t>任务名称
Task Name</t>
  </si>
  <si>
    <t>计划开始时间
Planed Start Date</t>
  </si>
  <si>
    <t>持续时间（day)</t>
  </si>
  <si>
    <t>计划结束时间
Planed End Date</t>
  </si>
  <si>
    <t>所需资源
Resource</t>
  </si>
  <si>
    <t>备注
Remark</t>
  </si>
  <si>
    <t>项目负责人</t>
  </si>
  <si>
    <t>开始时间</t>
  </si>
  <si>
    <t>结束时间</t>
  </si>
  <si>
    <t>项目名称</t>
  </si>
  <si>
    <t>项目目标</t>
  </si>
  <si>
    <t>项目基本信息</t>
  </si>
  <si>
    <t>项目概述（背景）</t>
  </si>
  <si>
    <t>项目成员</t>
  </si>
  <si>
    <t>Task+Person</t>
  </si>
  <si>
    <t>日期最小值</t>
  </si>
  <si>
    <t>日期最大值</t>
  </si>
  <si>
    <t>主任工程师 
Chief Engineer：</t>
  </si>
  <si>
    <t>工作量 
day</t>
  </si>
  <si>
    <t>任务责任人
Resp. Person</t>
  </si>
  <si>
    <t>项目经理
PM：</t>
  </si>
  <si>
    <t>备注</t>
  </si>
  <si>
    <t>负责人</t>
  </si>
  <si>
    <t>开始时间：</t>
  </si>
  <si>
    <t>版本管理工具</t>
  </si>
  <si>
    <t>项目管理工具</t>
  </si>
  <si>
    <t>Teams</t>
  </si>
  <si>
    <t>项目计划excel</t>
  </si>
  <si>
    <t>周会</t>
  </si>
  <si>
    <t>测试环境</t>
  </si>
  <si>
    <t>本地服务器测试环境</t>
  </si>
  <si>
    <t>项目订单号</t>
  </si>
  <si>
    <t>任务</t>
  </si>
  <si>
    <t>功能模块</t>
  </si>
  <si>
    <t>序号</t>
  </si>
  <si>
    <t>待完成任务</t>
  </si>
  <si>
    <t>前端设计要求</t>
  </si>
  <si>
    <t>客户回复</t>
  </si>
  <si>
    <t>预维护服务执行平台</t>
  </si>
  <si>
    <t>长期以来，设备预防性维护服务在西门子工业服务产品组合中占有重要地位。高质高效的执行预防性服务一直是西门子服务业务的重要目标。本项目旨在通过数字化手段提升预防性维护服务的质量和效率，主要收益体现在以下几个方面：
	更有效地管理客户的设备数据，为客户设备建立全生命周期的维护档案。如车间厂房、IBASE及历史维护数据等信息
	维护方案的标准化，不同产品类别和不同行业类型的维护方案高效沉淀为标准数据
	项目方案的智能匹配和灵活定制相结合
	工程师在现场可以通过移动端，方便地以离线及向导方式收集现场数据
	自动生成更专业、更标准、更智能的维护报告</t>
  </si>
  <si>
    <t>开发如下功能模块
Web应用包含以下功能模块：
•	客户设备管理，包括客户信息和设备信息等
•	维护项目管理，包括创建项目，方案匹配等
•	维护方案管理，包括创建不同类别的维护方案等
•	报告管理模块，包括生成报告，导出报告和上传报告等
•	系统管理功能，如用户管理，权限管理等
移动端应用包含以下功能模块：
•	维护任务管理，包括同步任务数据，创建和查看任务等
•	报告数据收集，包括报告填写向导，路径设计等
•	报告数据存储和上传</t>
  </si>
  <si>
    <t>高永</t>
  </si>
  <si>
    <t>曹维群，沈蘅，沈昭昭</t>
  </si>
  <si>
    <t>前端</t>
  </si>
  <si>
    <t>开发类别</t>
  </si>
  <si>
    <t>技术栈描述</t>
  </si>
  <si>
    <t>vue</t>
  </si>
  <si>
    <t>后端</t>
  </si>
  <si>
    <t>沈蘅，曹维群</t>
  </si>
  <si>
    <t>.NET10</t>
  </si>
  <si>
    <t>移动端封装</t>
  </si>
  <si>
    <t>沈朝昭</t>
  </si>
  <si>
    <t>uniapp</t>
  </si>
  <si>
    <t>H5打包为安卓apk</t>
  </si>
  <si>
    <t>主数据库</t>
  </si>
  <si>
    <t>Postgre</t>
  </si>
  <si>
    <t>报告数据库</t>
  </si>
  <si>
    <t>MongoDB</t>
  </si>
  <si>
    <t>Redis</t>
  </si>
  <si>
    <t>其他组件</t>
  </si>
  <si>
    <t>正式环境</t>
  </si>
  <si>
    <t>考虑部署在原来的ISP服务器</t>
  </si>
  <si>
    <t>http://40.73.59.238/ISPweb/</t>
  </si>
  <si>
    <t>code.siemens.com</t>
  </si>
  <si>
    <t>项目基础数据</t>
  </si>
  <si>
    <t>方案基础数据</t>
  </si>
  <si>
    <t>任务基础数据</t>
  </si>
  <si>
    <t>报告基础数据</t>
  </si>
  <si>
    <t>sprint-1 搭建基础数据</t>
  </si>
  <si>
    <t>sprint-2 完成项目创建</t>
  </si>
  <si>
    <t>sprint-3 移动端操作接口</t>
  </si>
  <si>
    <t>sprint-4 报告生成</t>
  </si>
  <si>
    <t>方案创建与编辑</t>
  </si>
  <si>
    <t>项目创建</t>
  </si>
  <si>
    <t>任务生成</t>
  </si>
  <si>
    <t>linux服务器</t>
  </si>
  <si>
    <t>测试环境搭建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</si>
</sst>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1"/>
      <color theme="1"/>
      <name val="Calibri"/>
      <family val="2"/>
      <scheme val="minor"/>
    </font>
    <font>
      <sz val="12"/>
      <name val="宋体"/>
      <charset val="134"/>
    </font>
    <font>
      <sz val="10"/>
      <name val="Siemens Sans Global"/>
      <charset val="134"/>
    </font>
    <font>
      <b/>
      <sz val="10"/>
      <name val="Siemens Sans Global"/>
      <charset val="134"/>
    </font>
    <font>
      <sz val="12"/>
      <name val="Siemens Sans Global"/>
      <charset val="134"/>
    </font>
    <font>
      <b/>
      <sz val="14"/>
      <color theme="1"/>
      <name val="Siemens Sans Global"/>
      <charset val="134"/>
    </font>
    <font>
      <sz val="11"/>
      <color theme="1"/>
      <name val="Siemens Sans Global"/>
      <charset val="134"/>
    </font>
    <font>
      <b/>
      <sz val="11"/>
      <color theme="1"/>
      <name val="Siemens Sans Global"/>
      <charset val="134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4" fillId="0" borderId="0" xfId="1" applyFont="1"/>
    <xf numFmtId="0" fontId="4" fillId="0" borderId="1" xfId="1" applyFont="1" applyBorder="1"/>
    <xf numFmtId="164" fontId="4" fillId="0" borderId="1" xfId="1" applyNumberFormat="1" applyFont="1" applyBorder="1"/>
    <xf numFmtId="14" fontId="4" fillId="0" borderId="1" xfId="1" applyNumberFormat="1" applyFont="1" applyBorder="1"/>
    <xf numFmtId="0" fontId="4" fillId="0" borderId="1" xfId="1" applyFont="1" applyBorder="1" applyAlignment="1">
      <alignment wrapText="1"/>
    </xf>
    <xf numFmtId="0" fontId="4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3" fillId="0" borderId="1" xfId="1" applyFont="1" applyBorder="1" applyAlignment="1">
      <alignment vertical="center" wrapText="1"/>
    </xf>
    <xf numFmtId="0" fontId="3" fillId="0" borderId="3" xfId="1" applyFont="1" applyBorder="1" applyAlignment="1">
      <alignment vertical="center" wrapText="1"/>
    </xf>
    <xf numFmtId="0" fontId="3" fillId="0" borderId="4" xfId="1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14" fontId="3" fillId="0" borderId="3" xfId="1" applyNumberFormat="1" applyFont="1" applyBorder="1" applyAlignment="1">
      <alignment horizontal="left" vertical="center"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1" fontId="4" fillId="2" borderId="0" xfId="1" applyNumberFormat="1" applyFont="1" applyFill="1"/>
    <xf numFmtId="1" fontId="4" fillId="3" borderId="0" xfId="1" applyNumberFormat="1" applyFont="1" applyFill="1"/>
    <xf numFmtId="1" fontId="4" fillId="0" borderId="1" xfId="1" applyNumberFormat="1" applyFont="1" applyBorder="1"/>
    <xf numFmtId="0" fontId="0" fillId="0" borderId="1" xfId="0" applyBorder="1"/>
    <xf numFmtId="0" fontId="6" fillId="0" borderId="1" xfId="0" applyFont="1" applyBorder="1" applyAlignment="1">
      <alignment vertical="center" wrapText="1"/>
    </xf>
    <xf numFmtId="0" fontId="0" fillId="0" borderId="5" xfId="0" applyBorder="1"/>
    <xf numFmtId="0" fontId="8" fillId="4" borderId="1" xfId="0" applyFont="1" applyFill="1" applyBorder="1"/>
    <xf numFmtId="0" fontId="0" fillId="4" borderId="1" xfId="0" applyFill="1" applyBorder="1"/>
    <xf numFmtId="0" fontId="3" fillId="0" borderId="1" xfId="1" applyFont="1" applyBorder="1" applyAlignment="1">
      <alignment horizontal="left" vertical="center" wrapText="1"/>
    </xf>
    <xf numFmtId="14" fontId="3" fillId="0" borderId="1" xfId="1" applyNumberFormat="1" applyFont="1" applyBorder="1" applyAlignment="1">
      <alignment horizontal="center" vertical="center" wrapText="1"/>
    </xf>
    <xf numFmtId="0" fontId="3" fillId="5" borderId="1" xfId="1" applyFont="1" applyFill="1" applyBorder="1" applyAlignment="1">
      <alignment horizontal="left" vertical="center" wrapText="1"/>
    </xf>
    <xf numFmtId="164" fontId="4" fillId="5" borderId="1" xfId="1" applyNumberFormat="1" applyFont="1" applyFill="1" applyBorder="1"/>
    <xf numFmtId="0" fontId="4" fillId="5" borderId="1" xfId="1" applyFont="1" applyFill="1" applyBorder="1"/>
    <xf numFmtId="14" fontId="4" fillId="5" borderId="1" xfId="1" applyNumberFormat="1" applyFont="1" applyFill="1" applyBorder="1"/>
    <xf numFmtId="14" fontId="3" fillId="5" borderId="1" xfId="1" applyNumberFormat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wrapText="1"/>
    </xf>
    <xf numFmtId="0" fontId="3" fillId="5" borderId="1" xfId="1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left" vertical="center"/>
    </xf>
    <xf numFmtId="0" fontId="2" fillId="0" borderId="0" xfId="1" applyFont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1" xfId="1" applyFont="1" applyBorder="1" applyAlignment="1">
      <alignment horizontal="left" vertical="center" wrapText="1"/>
    </xf>
    <xf numFmtId="0" fontId="3" fillId="5" borderId="1" xfId="1" applyFont="1" applyFill="1" applyBorder="1" applyAlignment="1">
      <alignment horizontal="left"/>
    </xf>
    <xf numFmtId="0" fontId="8" fillId="0" borderId="0" xfId="0" applyFont="1"/>
    <xf numFmtId="14" fontId="2" fillId="0" borderId="0" xfId="1" applyNumberFormat="1" applyFon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1" xfId="0" applyBorder="1" applyAlignment="1">
      <alignment wrapText="1"/>
    </xf>
    <xf numFmtId="0" fontId="8" fillId="0" borderId="1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8" fillId="0" borderId="0" xfId="0" applyFont="1" applyAlignment="1">
      <alignment vertical="center"/>
    </xf>
    <xf numFmtId="14" fontId="8" fillId="4" borderId="1" xfId="0" applyNumberFormat="1" applyFont="1" applyFill="1" applyBorder="1" applyAlignment="1">
      <alignment vertical="center" wrapText="1"/>
    </xf>
    <xf numFmtId="14" fontId="8" fillId="4" borderId="1" xfId="0" applyNumberFormat="1" applyFont="1" applyFill="1" applyBorder="1" applyAlignment="1">
      <alignment horizontal="center" wrapText="1"/>
    </xf>
    <xf numFmtId="14" fontId="8" fillId="4" borderId="1" xfId="0" applyNumberFormat="1" applyFont="1" applyFill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14" fontId="3" fillId="0" borderId="3" xfId="1" applyNumberFormat="1" applyFont="1" applyBorder="1" applyAlignment="1">
      <alignment horizontal="left" vertical="center" wrapText="1"/>
    </xf>
    <xf numFmtId="14" fontId="3" fillId="0" borderId="4" xfId="1" applyNumberFormat="1" applyFont="1" applyBorder="1" applyAlignment="1">
      <alignment horizontal="left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E20599F2-D969-478B-97A3-517B791C02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'Time Plan'!$B$1</c:f>
              <c:strCache>
                <c:ptCount val="1"/>
                <c:pt idx="0">
                  <c:v>计划开始时间
Planed Start Date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'Time Plan'!$A$2:$A$23</c:f>
              <c:strCache>
                <c:ptCount val="22"/>
                <c:pt idx="0">
                  <c:v>sprint-1 搭建基础数据-</c:v>
                </c:pt>
                <c:pt idx="1">
                  <c:v>项目基础数据-</c:v>
                </c:pt>
                <c:pt idx="2">
                  <c:v>方案基础数据-</c:v>
                </c:pt>
                <c:pt idx="3">
                  <c:v>0</c:v>
                </c:pt>
                <c:pt idx="4">
                  <c:v>0</c:v>
                </c:pt>
                <c:pt idx="5">
                  <c:v>sprint-2 完成项目创建-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sprint-3 移动端操作接口-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sprint-4 报告生成-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strCache>
            </c:strRef>
          </c:cat>
          <c:val>
            <c:numRef>
              <c:f>'Time Plan'!$B$2:$B$23</c:f>
              <c:numCache>
                <c:formatCode>m/d/yyyy</c:formatCode>
                <c:ptCount val="22"/>
                <c:pt idx="0">
                  <c:v>46113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0E-487D-90BF-DB54CB7971F3}"/>
            </c:ext>
          </c:extLst>
        </c:ser>
        <c:ser>
          <c:idx val="1"/>
          <c:order val="1"/>
          <c:tx>
            <c:strRef>
              <c:f>'Time Plan'!$C$1</c:f>
              <c:strCache>
                <c:ptCount val="1"/>
                <c:pt idx="0">
                  <c:v>持续时间（day)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cat>
            <c:strRef>
              <c:f>'Time Plan'!$A$2:$A$23</c:f>
              <c:strCache>
                <c:ptCount val="22"/>
                <c:pt idx="0">
                  <c:v>sprint-1 搭建基础数据-</c:v>
                </c:pt>
                <c:pt idx="1">
                  <c:v>项目基础数据-</c:v>
                </c:pt>
                <c:pt idx="2">
                  <c:v>方案基础数据-</c:v>
                </c:pt>
                <c:pt idx="3">
                  <c:v>0</c:v>
                </c:pt>
                <c:pt idx="4">
                  <c:v>0</c:v>
                </c:pt>
                <c:pt idx="5">
                  <c:v>sprint-2 完成项目创建-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sprint-3 移动端操作接口-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sprint-4 报告生成-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strCache>
            </c:strRef>
          </c:cat>
          <c:val>
            <c:numRef>
              <c:f>'Time Plan'!$C$2:$C$23</c:f>
              <c:numCache>
                <c:formatCode>0</c:formatCode>
                <c:ptCount val="22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317B-46B0-A341-A2A1B0FFC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3704448"/>
        <c:axId val="253730816"/>
      </c:barChart>
      <c:catAx>
        <c:axId val="253704448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crossAx val="253730816"/>
        <c:crosses val="autoZero"/>
        <c:auto val="1"/>
        <c:lblAlgn val="ctr"/>
        <c:lblOffset val="100"/>
        <c:noMultiLvlLbl val="0"/>
      </c:catAx>
      <c:valAx>
        <c:axId val="253730816"/>
        <c:scaling>
          <c:orientation val="minMax"/>
          <c:max val="45747"/>
          <c:min val="45632"/>
        </c:scaling>
        <c:delete val="0"/>
        <c:axPos val="t"/>
        <c:majorGridlines/>
        <c:numFmt formatCode="m/d/yyyy" sourceLinked="0"/>
        <c:majorTickMark val="out"/>
        <c:minorTickMark val="none"/>
        <c:tickLblPos val="nextTo"/>
        <c:crossAx val="253704448"/>
        <c:crosses val="autoZero"/>
        <c:crossBetween val="between"/>
        <c:minorUnit val="1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47625</xdr:rowOff>
    </xdr:from>
    <xdr:to>
      <xdr:col>1</xdr:col>
      <xdr:colOff>1000953</xdr:colOff>
      <xdr:row>1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603469-0E1F-4CE2-A954-BAEFFA712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50800"/>
          <a:ext cx="1512128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2</xdr:row>
      <xdr:rowOff>76199</xdr:rowOff>
    </xdr:from>
    <xdr:to>
      <xdr:col>17</xdr:col>
      <xdr:colOff>238125</xdr:colOff>
      <xdr:row>26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A62FB7-71AA-46FF-B82A-4D11F44A9C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D4" sqref="D4"/>
    </sheetView>
  </sheetViews>
  <sheetFormatPr defaultRowHeight="15" x14ac:dyDescent="0.25"/>
  <cols>
    <col min="1" max="1" width="20.85546875" style="17" customWidth="1"/>
    <col min="2" max="2" width="85.5703125" style="17" customWidth="1"/>
    <col min="3" max="3" width="15.28515625" style="17" customWidth="1"/>
    <col min="4" max="16384" width="9.140625" style="17"/>
  </cols>
  <sheetData>
    <row r="1" spans="1:2" ht="31.5" customHeight="1" x14ac:dyDescent="0.25">
      <c r="A1" s="57" t="s">
        <v>13</v>
      </c>
      <c r="B1" s="57"/>
    </row>
    <row r="2" spans="1:2" ht="24.95" customHeight="1" x14ac:dyDescent="0.25">
      <c r="A2" s="19" t="s">
        <v>11</v>
      </c>
      <c r="B2" s="18" t="s">
        <v>40</v>
      </c>
    </row>
    <row r="3" spans="1:2" ht="135" x14ac:dyDescent="0.25">
      <c r="A3" s="20" t="s">
        <v>14</v>
      </c>
      <c r="B3" s="25" t="s">
        <v>41</v>
      </c>
    </row>
    <row r="4" spans="1:2" ht="165" x14ac:dyDescent="0.25">
      <c r="A4" s="20" t="s">
        <v>12</v>
      </c>
      <c r="B4" s="25" t="s">
        <v>42</v>
      </c>
    </row>
    <row r="5" spans="1:2" ht="24.95" customHeight="1" x14ac:dyDescent="0.25">
      <c r="A5" s="20" t="s">
        <v>9</v>
      </c>
      <c r="B5" s="38">
        <v>46113</v>
      </c>
    </row>
    <row r="6" spans="1:2" ht="24.95" customHeight="1" x14ac:dyDescent="0.25">
      <c r="A6" s="20" t="s">
        <v>10</v>
      </c>
      <c r="B6" s="38">
        <v>46173</v>
      </c>
    </row>
    <row r="7" spans="1:2" ht="24.95" customHeight="1" x14ac:dyDescent="0.25">
      <c r="A7" s="20" t="s">
        <v>8</v>
      </c>
      <c r="B7" s="18" t="s">
        <v>43</v>
      </c>
    </row>
    <row r="8" spans="1:2" ht="24.95" customHeight="1" x14ac:dyDescent="0.25">
      <c r="A8" s="20" t="s">
        <v>15</v>
      </c>
      <c r="B8" s="18" t="s">
        <v>44</v>
      </c>
    </row>
    <row r="9" spans="1:2" ht="24.95" customHeight="1" x14ac:dyDescent="0.25">
      <c r="A9" s="20" t="s">
        <v>33</v>
      </c>
      <c r="B9" s="18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9A1E-C007-45F6-A108-454E60D1F6C3}">
  <sheetPr>
    <tabColor rgb="FF92D050"/>
  </sheetPr>
  <dimension ref="A1:S40"/>
  <sheetViews>
    <sheetView tabSelected="1" zoomScaleNormal="100" workbookViewId="0">
      <selection activeCell="F14" sqref="F14"/>
    </sheetView>
  </sheetViews>
  <sheetFormatPr defaultColWidth="10" defaultRowHeight="15.75" x14ac:dyDescent="0.25"/>
  <cols>
    <col min="1" max="1" width="10.42578125" style="39" customWidth="1"/>
    <col min="2" max="2" width="40.5703125" style="4" customWidth="1"/>
    <col min="3" max="3" width="17.5703125" style="4" hidden="1" customWidth="1"/>
    <col min="4" max="5" width="14.85546875" style="4" hidden="1" customWidth="1"/>
    <col min="6" max="6" width="20" style="4" customWidth="1"/>
    <col min="7" max="7" width="2.28515625" style="4" customWidth="1"/>
    <col min="8" max="8" width="15.28515625" style="4" customWidth="1"/>
    <col min="9" max="9" width="10.5703125" style="4" customWidth="1"/>
    <col min="10" max="10" width="15.28515625" style="4" customWidth="1"/>
    <col min="11" max="11" width="16.140625" style="4" customWidth="1"/>
    <col min="12" max="12" width="52.140625" style="9" customWidth="1"/>
    <col min="13" max="13" width="18.7109375" style="4" customWidth="1"/>
    <col min="14" max="16384" width="10" style="4"/>
  </cols>
  <sheetData>
    <row r="1" spans="1:19" s="1" customFormat="1" ht="12.75" x14ac:dyDescent="0.2">
      <c r="A1" s="39"/>
      <c r="K1" s="2"/>
      <c r="L1" s="10"/>
    </row>
    <row r="2" spans="1:19" s="1" customFormat="1" ht="18" customHeight="1" x14ac:dyDescent="0.2">
      <c r="A2" s="39"/>
      <c r="K2" s="2"/>
      <c r="L2" s="10"/>
    </row>
    <row r="3" spans="1:19" s="1" customFormat="1" ht="31.15" customHeight="1" x14ac:dyDescent="0.2">
      <c r="A3" s="29" t="s">
        <v>11</v>
      </c>
      <c r="B3" s="11" t="str">
        <f>Overview!B2</f>
        <v>预维护服务执行平台</v>
      </c>
      <c r="C3" s="11"/>
      <c r="D3" s="11"/>
      <c r="E3" s="14"/>
      <c r="F3" s="11" t="s">
        <v>0</v>
      </c>
      <c r="G3" s="15"/>
      <c r="H3" s="60"/>
      <c r="I3" s="60"/>
      <c r="J3" s="60"/>
      <c r="K3" s="61"/>
      <c r="L3" s="11"/>
    </row>
    <row r="4" spans="1:19" s="1" customFormat="1" ht="30.6" customHeight="1" x14ac:dyDescent="0.2">
      <c r="A4" s="29" t="s">
        <v>22</v>
      </c>
      <c r="B4" s="11" t="str">
        <f>Overview!B7</f>
        <v>高永</v>
      </c>
      <c r="C4" s="11"/>
      <c r="D4" s="11"/>
      <c r="E4" s="14"/>
      <c r="F4" s="11" t="s">
        <v>19</v>
      </c>
      <c r="G4" s="15"/>
      <c r="H4" s="15" t="str">
        <f>Overview!B8</f>
        <v>曹维群，沈蘅，沈昭昭</v>
      </c>
      <c r="I4" s="12"/>
      <c r="J4" s="12"/>
      <c r="K4" s="13"/>
      <c r="L4" s="11"/>
    </row>
    <row r="5" spans="1:19" s="1" customFormat="1" ht="30.6" customHeight="1" x14ac:dyDescent="0.2">
      <c r="A5" s="29" t="s">
        <v>25</v>
      </c>
      <c r="B5" s="16">
        <f>Overview!B5</f>
        <v>46113</v>
      </c>
      <c r="C5" s="12"/>
      <c r="D5" s="12"/>
      <c r="E5" s="12"/>
      <c r="F5" s="11" t="s">
        <v>10</v>
      </c>
      <c r="G5" s="16"/>
      <c r="H5" s="58">
        <f>Overview!B6</f>
        <v>46173</v>
      </c>
      <c r="I5" s="58"/>
      <c r="J5" s="58"/>
      <c r="K5" s="59"/>
      <c r="L5" s="13"/>
    </row>
    <row r="6" spans="1:19" ht="33.75" customHeight="1" x14ac:dyDescent="0.25">
      <c r="A6" s="29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21</v>
      </c>
      <c r="G6" s="3" t="s">
        <v>16</v>
      </c>
      <c r="H6" s="3" t="s">
        <v>9</v>
      </c>
      <c r="I6" s="3" t="s">
        <v>20</v>
      </c>
      <c r="J6" s="3" t="s">
        <v>10</v>
      </c>
      <c r="K6" s="3" t="s">
        <v>6</v>
      </c>
      <c r="L6" s="3" t="s">
        <v>7</v>
      </c>
      <c r="M6" s="1"/>
      <c r="N6" s="1"/>
      <c r="O6" s="1"/>
      <c r="P6" s="1"/>
      <c r="Q6" s="1"/>
      <c r="R6" s="1"/>
      <c r="S6" s="1"/>
    </row>
    <row r="7" spans="1:19" ht="15.75" customHeight="1" x14ac:dyDescent="0.25">
      <c r="A7" s="31">
        <v>1</v>
      </c>
      <c r="B7" s="31" t="s">
        <v>70</v>
      </c>
      <c r="C7" s="37"/>
      <c r="D7" s="37"/>
      <c r="E7" s="37"/>
      <c r="F7" s="37"/>
      <c r="G7" s="5" t="str">
        <f>B7&amp;"-"&amp;F7</f>
        <v>sprint-1 搭建基础数据-</v>
      </c>
      <c r="H7" s="35">
        <v>46113</v>
      </c>
      <c r="I7" s="37">
        <v>15</v>
      </c>
      <c r="J7" s="35">
        <f>IF(WBS!H7="","",H7+I7)</f>
        <v>46128</v>
      </c>
      <c r="K7" s="37"/>
      <c r="L7" s="37"/>
      <c r="M7" s="1"/>
      <c r="N7" s="1"/>
      <c r="O7" s="1"/>
      <c r="P7" s="1"/>
      <c r="Q7" s="1"/>
      <c r="R7" s="1"/>
      <c r="S7" s="1"/>
    </row>
    <row r="8" spans="1:19" x14ac:dyDescent="0.25">
      <c r="A8" s="40">
        <v>1.1000000000000001</v>
      </c>
      <c r="B8" s="5" t="s">
        <v>66</v>
      </c>
      <c r="C8" s="6"/>
      <c r="D8" s="5"/>
      <c r="E8" s="7"/>
      <c r="F8" s="5"/>
      <c r="G8" s="5" t="str">
        <f>B8&amp;"-"&amp;F8</f>
        <v>项目基础数据-</v>
      </c>
      <c r="H8" s="30"/>
      <c r="I8" s="5"/>
      <c r="J8" s="30" t="str">
        <f>IF(WBS!H8="","",H8+I8)</f>
        <v/>
      </c>
      <c r="K8" s="5"/>
      <c r="L8" s="8"/>
      <c r="M8" s="44"/>
      <c r="N8" s="1"/>
      <c r="O8" s="1"/>
      <c r="P8" s="1"/>
      <c r="Q8" s="1"/>
      <c r="R8" s="1"/>
      <c r="S8" s="1"/>
    </row>
    <row r="9" spans="1:19" x14ac:dyDescent="0.25">
      <c r="A9" s="41">
        <v>1.2</v>
      </c>
      <c r="B9" s="5" t="s">
        <v>67</v>
      </c>
      <c r="C9" s="6"/>
      <c r="D9" s="5"/>
      <c r="E9" s="7"/>
      <c r="F9" s="5"/>
      <c r="G9" s="5" t="str">
        <f t="shared" ref="G9:G35" si="0">B9&amp;"-"&amp;F9</f>
        <v>方案基础数据-</v>
      </c>
      <c r="H9" s="30"/>
      <c r="I9" s="5"/>
      <c r="J9" s="30" t="str">
        <f>IF(WBS!H9="","",H9+I9)</f>
        <v/>
      </c>
      <c r="K9" s="5"/>
      <c r="L9" s="8"/>
      <c r="M9" s="1"/>
      <c r="N9" s="1"/>
      <c r="O9" s="1"/>
      <c r="P9" s="1"/>
      <c r="Q9" s="1"/>
      <c r="R9" s="1"/>
      <c r="S9" s="1"/>
    </row>
    <row r="10" spans="1:19" x14ac:dyDescent="0.25">
      <c r="A10" s="40">
        <v>1.3</v>
      </c>
      <c r="B10" s="5" t="s">
        <v>68</v>
      </c>
      <c r="C10" s="6"/>
      <c r="D10" s="5"/>
      <c r="E10" s="7"/>
      <c r="F10" s="5"/>
      <c r="G10" s="5"/>
      <c r="H10" s="30"/>
      <c r="I10" s="5"/>
      <c r="J10" s="30" t="str">
        <f>IF(WBS!H10="","",H10+I10)</f>
        <v/>
      </c>
      <c r="K10" s="5"/>
      <c r="L10" s="8"/>
      <c r="M10" s="1"/>
      <c r="N10" s="1"/>
      <c r="O10" s="1"/>
      <c r="P10" s="1"/>
      <c r="Q10" s="1"/>
      <c r="R10" s="1"/>
      <c r="S10" s="1"/>
    </row>
    <row r="11" spans="1:19" ht="17.100000000000001" customHeight="1" x14ac:dyDescent="0.25">
      <c r="A11" s="41">
        <v>1.4</v>
      </c>
      <c r="B11" s="5" t="s">
        <v>69</v>
      </c>
      <c r="C11" s="6"/>
      <c r="D11" s="5"/>
      <c r="E11" s="7"/>
      <c r="F11" s="5"/>
      <c r="G11" s="5"/>
      <c r="H11" s="30"/>
      <c r="I11" s="5"/>
      <c r="J11" s="30"/>
      <c r="K11" s="5"/>
      <c r="L11" s="8"/>
    </row>
    <row r="12" spans="1:19" ht="17.100000000000001" customHeight="1" x14ac:dyDescent="0.25">
      <c r="A12" s="41"/>
      <c r="B12" s="5" t="s">
        <v>78</v>
      </c>
      <c r="C12" s="6"/>
      <c r="D12" s="5"/>
      <c r="E12" s="7"/>
      <c r="F12" s="5"/>
      <c r="G12" s="5"/>
      <c r="H12" s="30"/>
      <c r="I12" s="5"/>
      <c r="J12" s="30" t="str">
        <f>IF(WBS!H12="","",H12+I12)</f>
        <v/>
      </c>
      <c r="K12" s="5"/>
      <c r="L12" s="8"/>
    </row>
    <row r="13" spans="1:19" x14ac:dyDescent="0.25">
      <c r="A13" s="40"/>
      <c r="B13" s="5"/>
      <c r="C13" s="6"/>
      <c r="D13" s="5"/>
      <c r="E13" s="7"/>
      <c r="F13" s="5"/>
      <c r="G13" s="5"/>
      <c r="H13" s="30"/>
      <c r="I13" s="5"/>
      <c r="J13" s="30" t="str">
        <f>IF(WBS!H13="","",H13+I13)</f>
        <v/>
      </c>
      <c r="K13" s="5"/>
      <c r="L13" s="8"/>
    </row>
    <row r="14" spans="1:19" x14ac:dyDescent="0.25">
      <c r="A14" s="42">
        <v>2</v>
      </c>
      <c r="B14" s="31" t="s">
        <v>71</v>
      </c>
      <c r="C14" s="32"/>
      <c r="D14" s="33"/>
      <c r="E14" s="34"/>
      <c r="F14" s="33"/>
      <c r="G14" s="5" t="str">
        <f t="shared" si="0"/>
        <v>sprint-2 完成项目创建-</v>
      </c>
      <c r="H14" s="35"/>
      <c r="I14" s="33"/>
      <c r="J14" s="35" t="str">
        <f>IF(WBS!H14="","",H14+I14)</f>
        <v/>
      </c>
      <c r="K14" s="33"/>
      <c r="L14" s="36"/>
    </row>
    <row r="15" spans="1:19" x14ac:dyDescent="0.25">
      <c r="A15" s="41">
        <v>2.1</v>
      </c>
      <c r="B15" s="5" t="s">
        <v>74</v>
      </c>
      <c r="C15" s="6"/>
      <c r="D15" s="5"/>
      <c r="E15" s="7"/>
      <c r="F15" s="5"/>
      <c r="G15" s="5"/>
      <c r="H15" s="7"/>
      <c r="I15" s="5"/>
      <c r="J15" s="30"/>
      <c r="K15" s="5"/>
      <c r="L15" s="8"/>
    </row>
    <row r="16" spans="1:19" x14ac:dyDescent="0.25">
      <c r="A16" s="41">
        <v>2.2000000000000002</v>
      </c>
      <c r="B16" s="5" t="s">
        <v>75</v>
      </c>
      <c r="C16" s="6"/>
      <c r="D16" s="5"/>
      <c r="E16" s="7"/>
      <c r="F16" s="5"/>
      <c r="G16" s="5"/>
      <c r="H16" s="7"/>
      <c r="I16" s="5"/>
      <c r="J16" s="30"/>
      <c r="K16" s="5"/>
      <c r="L16" s="8"/>
    </row>
    <row r="17" spans="1:12" x14ac:dyDescent="0.25">
      <c r="A17" s="41">
        <v>2.2999999999999998</v>
      </c>
      <c r="B17" s="5" t="s">
        <v>76</v>
      </c>
      <c r="C17" s="6"/>
      <c r="D17" s="5"/>
      <c r="E17" s="7"/>
      <c r="F17" s="5"/>
      <c r="G17" s="5"/>
      <c r="H17" s="7"/>
      <c r="I17" s="5"/>
      <c r="J17" s="30"/>
      <c r="K17" s="5"/>
      <c r="L17" s="8"/>
    </row>
    <row r="18" spans="1:12" x14ac:dyDescent="0.25">
      <c r="A18" s="41"/>
      <c r="B18" s="5"/>
      <c r="C18" s="6"/>
      <c r="D18" s="5"/>
      <c r="E18" s="7"/>
      <c r="F18" s="5"/>
      <c r="G18" s="5"/>
      <c r="H18" s="7"/>
      <c r="I18" s="5"/>
      <c r="J18" s="30"/>
      <c r="K18" s="5"/>
      <c r="L18" s="8"/>
    </row>
    <row r="19" spans="1:12" x14ac:dyDescent="0.25">
      <c r="A19" s="41"/>
      <c r="B19" s="5"/>
      <c r="C19" s="6"/>
      <c r="D19" s="5"/>
      <c r="E19" s="7"/>
      <c r="F19" s="5"/>
      <c r="G19" s="5"/>
      <c r="H19" s="7"/>
      <c r="I19" s="5"/>
      <c r="J19" s="30"/>
      <c r="K19" s="5"/>
      <c r="L19" s="8"/>
    </row>
    <row r="20" spans="1:12" x14ac:dyDescent="0.25">
      <c r="A20" s="31">
        <v>3</v>
      </c>
      <c r="B20" s="31" t="s">
        <v>72</v>
      </c>
      <c r="C20" s="32"/>
      <c r="D20" s="33"/>
      <c r="E20" s="34"/>
      <c r="F20" s="33"/>
      <c r="G20" s="5" t="str">
        <f t="shared" si="0"/>
        <v>sprint-3 移动端操作接口-</v>
      </c>
      <c r="H20" s="34"/>
      <c r="I20" s="33"/>
      <c r="J20" s="35" t="str">
        <f>IF(WBS!H20="","",H20+I20)</f>
        <v/>
      </c>
      <c r="K20" s="33"/>
      <c r="L20" s="36"/>
    </row>
    <row r="21" spans="1:12" x14ac:dyDescent="0.25">
      <c r="A21" s="40"/>
      <c r="B21" s="5"/>
      <c r="C21" s="6"/>
      <c r="D21" s="5"/>
      <c r="E21" s="7"/>
      <c r="F21" s="5"/>
      <c r="G21" s="5"/>
      <c r="H21" s="7"/>
      <c r="I21" s="5"/>
      <c r="J21" s="30"/>
      <c r="K21" s="5"/>
      <c r="L21" s="8"/>
    </row>
    <row r="22" spans="1:12" x14ac:dyDescent="0.25">
      <c r="A22" s="40"/>
      <c r="B22" s="5"/>
      <c r="C22" s="6"/>
      <c r="D22" s="5"/>
      <c r="E22" s="7"/>
      <c r="F22" s="5"/>
      <c r="G22" s="5"/>
      <c r="H22" s="7"/>
      <c r="I22" s="5"/>
      <c r="J22" s="30"/>
      <c r="K22" s="5"/>
      <c r="L22" s="8"/>
    </row>
    <row r="23" spans="1:12" x14ac:dyDescent="0.25">
      <c r="A23" s="40"/>
      <c r="B23" s="5"/>
      <c r="C23" s="6"/>
      <c r="D23" s="5"/>
      <c r="E23" s="7"/>
      <c r="F23" s="5"/>
      <c r="G23" s="5"/>
      <c r="H23" s="7"/>
      <c r="I23" s="5"/>
      <c r="J23" s="30"/>
      <c r="K23" s="5"/>
      <c r="L23" s="8"/>
    </row>
    <row r="24" spans="1:12" x14ac:dyDescent="0.25">
      <c r="A24" s="40"/>
      <c r="B24" s="5"/>
      <c r="C24" s="6"/>
      <c r="D24" s="5"/>
      <c r="E24" s="7"/>
      <c r="F24" s="5"/>
      <c r="G24" s="5"/>
      <c r="H24" s="7"/>
      <c r="I24" s="5"/>
      <c r="J24" s="30"/>
      <c r="K24" s="5"/>
      <c r="L24" s="8"/>
    </row>
    <row r="25" spans="1:12" x14ac:dyDescent="0.25">
      <c r="A25" s="31">
        <v>4</v>
      </c>
      <c r="B25" s="31" t="s">
        <v>73</v>
      </c>
      <c r="C25" s="32"/>
      <c r="D25" s="33"/>
      <c r="E25" s="34"/>
      <c r="F25" s="33"/>
      <c r="G25" s="5" t="str">
        <f t="shared" si="0"/>
        <v>sprint-4 报告生成-</v>
      </c>
      <c r="H25" s="34"/>
      <c r="I25" s="33"/>
      <c r="J25" s="35" t="str">
        <f>IF(WBS!H25="","",H25+I25)</f>
        <v/>
      </c>
      <c r="K25" s="33"/>
      <c r="L25" s="36"/>
    </row>
    <row r="26" spans="1:12" x14ac:dyDescent="0.25">
      <c r="A26" s="40"/>
      <c r="B26" s="8"/>
      <c r="C26" s="6"/>
      <c r="D26" s="5"/>
      <c r="E26" s="7"/>
      <c r="F26" s="5"/>
      <c r="G26" s="5"/>
      <c r="H26" s="7"/>
      <c r="I26" s="5"/>
      <c r="J26" s="30"/>
      <c r="K26" s="5"/>
      <c r="L26" s="8"/>
    </row>
    <row r="27" spans="1:12" x14ac:dyDescent="0.25">
      <c r="A27" s="40"/>
      <c r="B27" s="8"/>
      <c r="C27" s="6"/>
      <c r="D27" s="5"/>
      <c r="E27" s="7"/>
      <c r="F27" s="5"/>
      <c r="G27" s="5"/>
      <c r="H27" s="7"/>
      <c r="I27" s="5"/>
      <c r="J27" s="30"/>
      <c r="K27" s="5"/>
      <c r="L27" s="8"/>
    </row>
    <row r="28" spans="1:12" x14ac:dyDescent="0.25">
      <c r="A28" s="40"/>
      <c r="B28" s="8"/>
      <c r="C28" s="6"/>
      <c r="D28" s="5"/>
      <c r="E28" s="7"/>
      <c r="F28" s="5"/>
      <c r="G28" s="5"/>
      <c r="H28" s="7"/>
      <c r="I28" s="5"/>
      <c r="J28" s="30"/>
      <c r="K28" s="5"/>
      <c r="L28" s="8"/>
    </row>
    <row r="29" spans="1:12" x14ac:dyDescent="0.25">
      <c r="A29" s="40"/>
      <c r="B29" s="5"/>
      <c r="C29" s="6"/>
      <c r="D29" s="5"/>
      <c r="E29" s="7"/>
      <c r="F29" s="5"/>
      <c r="G29" s="5"/>
      <c r="H29" s="7"/>
      <c r="I29" s="5"/>
      <c r="J29" s="30"/>
      <c r="K29" s="5"/>
      <c r="L29" s="8"/>
    </row>
    <row r="30" spans="1:12" x14ac:dyDescent="0.25">
      <c r="A30" s="40"/>
      <c r="B30" s="5"/>
      <c r="C30" s="6"/>
      <c r="D30" s="5"/>
      <c r="E30" s="7"/>
      <c r="F30" s="5"/>
      <c r="G30" s="5"/>
      <c r="H30" s="7"/>
      <c r="I30" s="5"/>
      <c r="J30" s="30"/>
      <c r="K30" s="5"/>
      <c r="L30" s="8"/>
    </row>
    <row r="31" spans="1:12" x14ac:dyDescent="0.25">
      <c r="A31" s="40"/>
      <c r="B31" s="5"/>
      <c r="C31" s="6"/>
      <c r="D31" s="5"/>
      <c r="E31" s="7"/>
      <c r="F31" s="5"/>
      <c r="G31" s="5"/>
      <c r="H31" s="7"/>
      <c r="I31" s="5"/>
      <c r="J31" s="30"/>
      <c r="K31" s="5"/>
      <c r="L31" s="8"/>
    </row>
    <row r="32" spans="1:12" x14ac:dyDescent="0.25">
      <c r="A32" s="40"/>
      <c r="B32" s="5"/>
      <c r="C32" s="6"/>
      <c r="D32" s="5"/>
      <c r="E32" s="7"/>
      <c r="F32" s="5"/>
      <c r="G32" s="5"/>
      <c r="H32" s="7"/>
      <c r="I32" s="5"/>
      <c r="J32" s="30"/>
      <c r="K32" s="5"/>
      <c r="L32" s="8"/>
    </row>
    <row r="33" spans="1:12" x14ac:dyDescent="0.25">
      <c r="A33" s="40"/>
      <c r="B33" s="5"/>
      <c r="C33" s="6"/>
      <c r="D33" s="5"/>
      <c r="E33" s="7"/>
      <c r="F33" s="5"/>
      <c r="G33" s="5" t="str">
        <f>B33&amp;"-"&amp;F33</f>
        <v>-</v>
      </c>
      <c r="H33" s="7"/>
      <c r="I33" s="5"/>
      <c r="J33" s="7"/>
      <c r="K33" s="5"/>
      <c r="L33" s="8"/>
    </row>
    <row r="34" spans="1:12" x14ac:dyDescent="0.25">
      <c r="A34" s="40"/>
      <c r="B34" s="5"/>
      <c r="C34" s="6"/>
      <c r="D34" s="5"/>
      <c r="E34" s="7"/>
      <c r="F34" s="5"/>
      <c r="G34" s="5" t="str">
        <f t="shared" si="0"/>
        <v>-</v>
      </c>
      <c r="H34" s="7"/>
      <c r="I34" s="5"/>
      <c r="J34" s="7"/>
      <c r="K34" s="5"/>
      <c r="L34" s="8"/>
    </row>
    <row r="35" spans="1:12" x14ac:dyDescent="0.25">
      <c r="A35" s="40"/>
      <c r="B35" s="5"/>
      <c r="C35" s="6"/>
      <c r="D35" s="5"/>
      <c r="E35" s="7"/>
      <c r="F35" s="5"/>
      <c r="G35" s="5" t="str">
        <f t="shared" si="0"/>
        <v>-</v>
      </c>
      <c r="H35" s="7"/>
      <c r="I35" s="5"/>
      <c r="J35" s="7"/>
      <c r="K35" s="5"/>
      <c r="L35" s="8"/>
    </row>
    <row r="36" spans="1:12" x14ac:dyDescent="0.25">
      <c r="A36" s="40"/>
      <c r="B36" s="5"/>
      <c r="C36" s="6"/>
      <c r="D36" s="5"/>
      <c r="E36" s="7"/>
      <c r="F36" s="5"/>
      <c r="G36" s="5"/>
      <c r="H36" s="7"/>
      <c r="I36" s="5"/>
      <c r="J36" s="7"/>
      <c r="K36" s="5"/>
      <c r="L36" s="8"/>
    </row>
    <row r="37" spans="1:12" x14ac:dyDescent="0.25">
      <c r="A37" s="29"/>
      <c r="B37" s="5"/>
      <c r="C37" s="6"/>
      <c r="D37" s="5"/>
      <c r="E37" s="7"/>
      <c r="F37" s="5"/>
      <c r="G37" s="5"/>
      <c r="H37" s="7"/>
      <c r="I37" s="5"/>
      <c r="J37" s="7"/>
      <c r="K37" s="5"/>
      <c r="L37" s="8"/>
    </row>
    <row r="38" spans="1:12" x14ac:dyDescent="0.25">
      <c r="A38" s="40"/>
      <c r="B38" s="5"/>
      <c r="C38" s="6"/>
      <c r="D38" s="5"/>
      <c r="E38" s="7"/>
      <c r="F38" s="5"/>
      <c r="G38" s="5"/>
      <c r="H38" s="7"/>
      <c r="I38" s="5"/>
      <c r="J38" s="7"/>
      <c r="K38" s="5"/>
      <c r="L38" s="8"/>
    </row>
    <row r="39" spans="1:12" x14ac:dyDescent="0.25">
      <c r="A39" s="29"/>
      <c r="B39" s="5"/>
      <c r="C39" s="6"/>
      <c r="D39" s="5"/>
      <c r="E39" s="7"/>
      <c r="F39" s="5"/>
      <c r="G39" s="5"/>
      <c r="H39" s="7"/>
      <c r="I39" s="5"/>
      <c r="J39" s="7"/>
      <c r="K39" s="5"/>
      <c r="L39" s="8"/>
    </row>
    <row r="40" spans="1:12" x14ac:dyDescent="0.25">
      <c r="A40" s="40"/>
      <c r="B40" s="5"/>
      <c r="C40" s="6"/>
      <c r="D40" s="5"/>
      <c r="E40" s="7"/>
      <c r="F40" s="5"/>
      <c r="G40" s="5"/>
      <c r="H40" s="7"/>
      <c r="I40" s="5"/>
      <c r="J40" s="7"/>
      <c r="K40" s="5"/>
      <c r="L40" s="8"/>
    </row>
  </sheetData>
  <mergeCells count="2">
    <mergeCell ref="H5:K5"/>
    <mergeCell ref="H3:K3"/>
  </mergeCells>
  <pageMargins left="0.56999999999999995" right="0.33" top="0.48" bottom="0.55000000000000004" header="0.41" footer="0.17"/>
  <pageSetup paperSize="9" orientation="landscape" r:id="rId1"/>
  <headerFooter alignWithMargins="0">
    <oddFooter>&amp;LUnrestricted  &amp;9Siemens Factory Automation Engineering Ltd.
西门子工厂自动化工程有限公司&amp;C&amp;9仅供内部使用 For Internal Use Only&amp;LUnrestricted  &amp;9Siemens Factory Automation Engineering Ltd.
西门子工厂自动化工程有限公司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94BD-E348-4AF0-ADF4-5A74659CC7E7}">
  <dimension ref="A1:N27"/>
  <sheetViews>
    <sheetView workbookViewId="0">
      <selection activeCell="A30" sqref="A30"/>
    </sheetView>
  </sheetViews>
  <sheetFormatPr defaultRowHeight="15.75" x14ac:dyDescent="0.25"/>
  <cols>
    <col min="1" max="1" width="48.140625" style="4" customWidth="1"/>
    <col min="2" max="2" width="18" style="4" customWidth="1"/>
    <col min="3" max="3" width="8.28515625" style="4" customWidth="1"/>
    <col min="4" max="4" width="17.5703125" style="4" customWidth="1"/>
    <col min="5" max="5" width="9.140625" style="4"/>
    <col min="6" max="6" width="12.7109375" style="4" customWidth="1"/>
    <col min="7" max="7" width="16.5703125" style="4" customWidth="1"/>
    <col min="8" max="12" width="9.140625" style="4"/>
    <col min="13" max="13" width="13.42578125" style="4" customWidth="1"/>
    <col min="14" max="14" width="19.42578125" style="4" customWidth="1"/>
    <col min="15" max="16384" width="9.140625" style="4"/>
  </cols>
  <sheetData>
    <row r="1" spans="1:14" ht="33.75" customHeight="1" x14ac:dyDescent="0.25">
      <c r="A1" s="3" t="s">
        <v>2</v>
      </c>
      <c r="B1" s="3" t="s">
        <v>3</v>
      </c>
      <c r="C1" s="3" t="s">
        <v>4</v>
      </c>
      <c r="D1" s="3" t="s">
        <v>5</v>
      </c>
      <c r="F1" s="4" t="s">
        <v>17</v>
      </c>
      <c r="G1" s="21">
        <f>WBS!B5</f>
        <v>46113</v>
      </c>
      <c r="M1" s="4" t="s">
        <v>18</v>
      </c>
      <c r="N1" s="22">
        <f>WBS!H5</f>
        <v>46173</v>
      </c>
    </row>
    <row r="2" spans="1:14" ht="15.75" customHeight="1" x14ac:dyDescent="0.25">
      <c r="A2" s="5" t="str">
        <f>IF(WBS!G7="-","",WBS!G7)</f>
        <v>sprint-1 搭建基础数据-</v>
      </c>
      <c r="B2" s="7">
        <f>IF(WBS!H7="","",WBS!H7)</f>
        <v>46113</v>
      </c>
      <c r="C2" s="23">
        <f>IF(WBS!I7="","",WBS!I7)</f>
        <v>15</v>
      </c>
      <c r="D2" s="7">
        <f>IF(WBS!I7="","",B2+C2)</f>
        <v>46128</v>
      </c>
      <c r="G2" s="21"/>
      <c r="N2" s="22"/>
    </row>
    <row r="3" spans="1:14" x14ac:dyDescent="0.25">
      <c r="A3" s="5" t="str">
        <f>IF(WBS!G8="-","",WBS!G8)</f>
        <v>项目基础数据-</v>
      </c>
      <c r="B3" s="7" t="str">
        <f>IF(WBS!H8="","",WBS!H8)</f>
        <v/>
      </c>
      <c r="C3" s="23" t="str">
        <f>IF(WBS!I8="","",WBS!I8)</f>
        <v/>
      </c>
      <c r="D3" s="7" t="str">
        <f>IF(WBS!I8="","",B3+C3)</f>
        <v/>
      </c>
    </row>
    <row r="4" spans="1:14" x14ac:dyDescent="0.25">
      <c r="A4" s="5" t="str">
        <f>IF(WBS!G9="-","",WBS!G9)</f>
        <v>方案基础数据-</v>
      </c>
      <c r="B4" s="7" t="str">
        <f>IF(WBS!H9="","",WBS!H9)</f>
        <v/>
      </c>
      <c r="C4" s="23" t="str">
        <f>IF(WBS!I9="","",WBS!I9)</f>
        <v/>
      </c>
      <c r="D4" s="7" t="str">
        <f>IF(WBS!I9="","",B4+C4)</f>
        <v/>
      </c>
    </row>
    <row r="5" spans="1:14" x14ac:dyDescent="0.25">
      <c r="A5" s="5">
        <f>IF(WBS!G10="-","",WBS!G10)</f>
        <v>0</v>
      </c>
      <c r="B5" s="7" t="str">
        <f>IF(WBS!H10="","",WBS!H10)</f>
        <v/>
      </c>
      <c r="C5" s="23" t="str">
        <f>IF(WBS!I10="","",WBS!I10)</f>
        <v/>
      </c>
      <c r="D5" s="7" t="str">
        <f>IF(WBS!I10="","",B5+C5)</f>
        <v/>
      </c>
    </row>
    <row r="6" spans="1:14" x14ac:dyDescent="0.25">
      <c r="A6" s="5">
        <f>IF(WBS!G13="-","",WBS!G13)</f>
        <v>0</v>
      </c>
      <c r="B6" s="7" t="str">
        <f>IF(WBS!H13="","",WBS!H13)</f>
        <v/>
      </c>
      <c r="C6" s="23" t="str">
        <f>IF(WBS!I13="","",WBS!I13)</f>
        <v/>
      </c>
      <c r="D6" s="7" t="str">
        <f>IF(WBS!I13="","",B6+C6)</f>
        <v/>
      </c>
    </row>
    <row r="7" spans="1:14" x14ac:dyDescent="0.25">
      <c r="A7" s="5" t="str">
        <f>IF(WBS!G14="-","",WBS!G14)</f>
        <v>sprint-2 完成项目创建-</v>
      </c>
      <c r="B7" s="7" t="str">
        <f>IF(WBS!H14="","",WBS!H14)</f>
        <v/>
      </c>
      <c r="C7" s="23" t="str">
        <f>IF(WBS!I14="","",WBS!I14)</f>
        <v/>
      </c>
      <c r="D7" s="7" t="str">
        <f>IF(WBS!I14="","",B7+C7)</f>
        <v/>
      </c>
    </row>
    <row r="8" spans="1:14" x14ac:dyDescent="0.25">
      <c r="A8" s="5">
        <f>IF(WBS!G15="-","",WBS!G15)</f>
        <v>0</v>
      </c>
      <c r="B8" s="7" t="str">
        <f>IF(WBS!H15="","",WBS!H15)</f>
        <v/>
      </c>
      <c r="C8" s="23" t="str">
        <f>IF(WBS!I15="","",WBS!I15)</f>
        <v/>
      </c>
      <c r="D8" s="7" t="str">
        <f>IF(WBS!I15="","",B8+C8)</f>
        <v/>
      </c>
    </row>
    <row r="9" spans="1:14" x14ac:dyDescent="0.25">
      <c r="A9" s="5">
        <f>IF(WBS!G16="-","",WBS!G16)</f>
        <v>0</v>
      </c>
      <c r="B9" s="7" t="str">
        <f>IF(WBS!H16="","",WBS!H16)</f>
        <v/>
      </c>
      <c r="C9" s="23" t="str">
        <f>IF(WBS!I16="","",WBS!I16)</f>
        <v/>
      </c>
      <c r="D9" s="7" t="str">
        <f>IF(WBS!I16="","",B9+C9)</f>
        <v/>
      </c>
    </row>
    <row r="10" spans="1:14" x14ac:dyDescent="0.25">
      <c r="A10" s="5">
        <f>IF(WBS!G17="-","",WBS!G17)</f>
        <v>0</v>
      </c>
      <c r="B10" s="7" t="str">
        <f>IF(WBS!H17="","",WBS!H17)</f>
        <v/>
      </c>
      <c r="C10" s="23" t="str">
        <f>IF(WBS!I17="","",WBS!I17)</f>
        <v/>
      </c>
      <c r="D10" s="7" t="str">
        <f>IF(WBS!I17="","",B10+C10)</f>
        <v/>
      </c>
    </row>
    <row r="11" spans="1:14" x14ac:dyDescent="0.25">
      <c r="A11" s="5">
        <f>IF(WBS!G18="-","",WBS!G18)</f>
        <v>0</v>
      </c>
      <c r="B11" s="7" t="str">
        <f>IF(WBS!H18="","",WBS!H18)</f>
        <v/>
      </c>
      <c r="C11" s="23" t="str">
        <f>IF(WBS!I18="","",WBS!I18)</f>
        <v/>
      </c>
      <c r="D11" s="7" t="str">
        <f>IF(WBS!I18="","",B11+C11)</f>
        <v/>
      </c>
    </row>
    <row r="12" spans="1:14" x14ac:dyDescent="0.25">
      <c r="A12" s="5">
        <f>IF(WBS!G19="-","",WBS!G19)</f>
        <v>0</v>
      </c>
      <c r="B12" s="7" t="str">
        <f>IF(WBS!H19="","",WBS!H19)</f>
        <v/>
      </c>
      <c r="C12" s="23" t="str">
        <f>IF(WBS!I19="","",WBS!I19)</f>
        <v/>
      </c>
      <c r="D12" s="7" t="str">
        <f>IF(WBS!I19="","",B12+C12)</f>
        <v/>
      </c>
    </row>
    <row r="13" spans="1:14" x14ac:dyDescent="0.25">
      <c r="A13" s="5" t="str">
        <f>IF(WBS!G20="-","",WBS!G20)</f>
        <v>sprint-3 移动端操作接口-</v>
      </c>
      <c r="B13" s="7" t="str">
        <f>IF(WBS!H20="","",WBS!H20)</f>
        <v/>
      </c>
      <c r="C13" s="23" t="str">
        <f>IF(WBS!I20="","",WBS!I20)</f>
        <v/>
      </c>
      <c r="D13" s="7" t="str">
        <f>IF(WBS!I20="","",B13+C13)</f>
        <v/>
      </c>
    </row>
    <row r="14" spans="1:14" x14ac:dyDescent="0.25">
      <c r="A14" s="5">
        <f>IF(WBS!G21="-","",WBS!G21)</f>
        <v>0</v>
      </c>
      <c r="B14" s="7" t="str">
        <f>IF(WBS!H21="","",WBS!H21)</f>
        <v/>
      </c>
      <c r="C14" s="23" t="str">
        <f>IF(WBS!I21="","",WBS!I21)</f>
        <v/>
      </c>
      <c r="D14" s="7" t="str">
        <f>IF(WBS!I21="","",B14+C14)</f>
        <v/>
      </c>
    </row>
    <row r="15" spans="1:14" x14ac:dyDescent="0.25">
      <c r="A15" s="5">
        <f>IF(WBS!G22="-","",WBS!G22)</f>
        <v>0</v>
      </c>
      <c r="B15" s="7" t="str">
        <f>IF(WBS!H22="","",WBS!H22)</f>
        <v/>
      </c>
      <c r="C15" s="23" t="str">
        <f>IF(WBS!I22="","",WBS!I22)</f>
        <v/>
      </c>
      <c r="D15" s="7" t="str">
        <f>IF(WBS!I22="","",B15+C15)</f>
        <v/>
      </c>
    </row>
    <row r="16" spans="1:14" x14ac:dyDescent="0.25">
      <c r="A16" s="5">
        <f>IF(WBS!G23="-","",WBS!G23)</f>
        <v>0</v>
      </c>
      <c r="B16" s="7" t="str">
        <f>IF(WBS!H23="","",WBS!H23)</f>
        <v/>
      </c>
      <c r="C16" s="23" t="str">
        <f>IF(WBS!I23="","",WBS!I23)</f>
        <v/>
      </c>
      <c r="D16" s="7" t="str">
        <f>IF(WBS!I23="","",B16+C16)</f>
        <v/>
      </c>
    </row>
    <row r="17" spans="1:4" x14ac:dyDescent="0.25">
      <c r="A17" s="5">
        <f>IF(WBS!G24="-","",WBS!G24)</f>
        <v>0</v>
      </c>
      <c r="B17" s="7" t="str">
        <f>IF(WBS!H24="","",WBS!H24)</f>
        <v/>
      </c>
      <c r="C17" s="23" t="str">
        <f>IF(WBS!I24="","",WBS!I24)</f>
        <v/>
      </c>
      <c r="D17" s="7" t="str">
        <f>IF(WBS!I24="","",B17+C17)</f>
        <v/>
      </c>
    </row>
    <row r="18" spans="1:4" x14ac:dyDescent="0.25">
      <c r="A18" s="5" t="str">
        <f>IF(WBS!G25="-","",WBS!G25)</f>
        <v>sprint-4 报告生成-</v>
      </c>
      <c r="B18" s="7" t="str">
        <f>IF(WBS!H25="","",WBS!H25)</f>
        <v/>
      </c>
      <c r="C18" s="23" t="str">
        <f>IF(WBS!I25="","",WBS!I25)</f>
        <v/>
      </c>
      <c r="D18" s="7" t="str">
        <f>IF(WBS!I25="","",B18+C18)</f>
        <v/>
      </c>
    </row>
    <row r="19" spans="1:4" x14ac:dyDescent="0.25">
      <c r="A19" s="5">
        <f>IF(WBS!G26="-","",WBS!G26)</f>
        <v>0</v>
      </c>
      <c r="B19" s="7" t="str">
        <f>IF(WBS!H26="","",WBS!H26)</f>
        <v/>
      </c>
      <c r="C19" s="23" t="str">
        <f>IF(WBS!I26="","",WBS!I26)</f>
        <v/>
      </c>
      <c r="D19" s="7" t="str">
        <f>IF(WBS!I26="","",B19+C19)</f>
        <v/>
      </c>
    </row>
    <row r="20" spans="1:4" x14ac:dyDescent="0.25">
      <c r="A20" s="5">
        <f>IF(WBS!G27="-","",WBS!G27)</f>
        <v>0</v>
      </c>
      <c r="B20" s="7" t="str">
        <f>IF(WBS!H27="","",WBS!H27)</f>
        <v/>
      </c>
      <c r="C20" s="23" t="str">
        <f>IF(WBS!I27="","",WBS!I27)</f>
        <v/>
      </c>
      <c r="D20" s="7" t="str">
        <f>IF(WBS!I27="","",B20+C20)</f>
        <v/>
      </c>
    </row>
    <row r="21" spans="1:4" x14ac:dyDescent="0.25">
      <c r="A21" s="5">
        <f>IF(WBS!G28="-","",WBS!G28)</f>
        <v>0</v>
      </c>
      <c r="B21" s="7" t="str">
        <f>IF(WBS!H28="","",WBS!H28)</f>
        <v/>
      </c>
      <c r="C21" s="23" t="str">
        <f>IF(WBS!I28="","",WBS!I28)</f>
        <v/>
      </c>
      <c r="D21" s="7" t="str">
        <f>IF(WBS!I28="","",B21+C21)</f>
        <v/>
      </c>
    </row>
    <row r="22" spans="1:4" x14ac:dyDescent="0.25">
      <c r="A22" s="5">
        <f>IF(WBS!G29="-","",WBS!G29)</f>
        <v>0</v>
      </c>
      <c r="B22" s="7" t="str">
        <f>IF(WBS!H29="","",WBS!H29)</f>
        <v/>
      </c>
      <c r="C22" s="23" t="str">
        <f>IF(WBS!I29="","",WBS!I29)</f>
        <v/>
      </c>
      <c r="D22" s="7" t="str">
        <f>IF(WBS!I29="","",B22+C22)</f>
        <v/>
      </c>
    </row>
    <row r="23" spans="1:4" x14ac:dyDescent="0.25">
      <c r="A23" s="5">
        <f>IF(WBS!G30="-","",WBS!G30)</f>
        <v>0</v>
      </c>
      <c r="B23" s="7" t="str">
        <f>IF(WBS!H30="","",WBS!H30)</f>
        <v/>
      </c>
      <c r="C23" s="23" t="str">
        <f>IF(WBS!I30="","",WBS!I30)</f>
        <v/>
      </c>
      <c r="D23" s="7" t="str">
        <f>IF(WBS!I30="","",B23+C23)</f>
        <v/>
      </c>
    </row>
    <row r="24" spans="1:4" x14ac:dyDescent="0.25">
      <c r="A24" s="5"/>
      <c r="B24" s="7" t="str">
        <f>IF(WBS!H31="","",WBS!H31)</f>
        <v/>
      </c>
      <c r="C24" s="23" t="str">
        <f>IF(WBS!I31="","",WBS!I31)</f>
        <v/>
      </c>
      <c r="D24" s="7" t="str">
        <f>IF(WBS!I31="","",B24+C24)</f>
        <v/>
      </c>
    </row>
    <row r="25" spans="1:4" x14ac:dyDescent="0.25">
      <c r="A25" s="5"/>
      <c r="B25" s="7"/>
      <c r="C25" s="23"/>
      <c r="D25" s="7"/>
    </row>
    <row r="26" spans="1:4" x14ac:dyDescent="0.25">
      <c r="A26" s="5"/>
      <c r="B26" s="7"/>
      <c r="C26" s="23"/>
      <c r="D26" s="7"/>
    </row>
    <row r="27" spans="1:4" x14ac:dyDescent="0.25">
      <c r="A27" s="5"/>
      <c r="B27" s="7"/>
      <c r="C27" s="23"/>
      <c r="D27" s="7"/>
    </row>
  </sheetData>
  <pageMargins left="0.7" right="0.7" top="0.75" bottom="0.75" header="0.3" footer="0.3"/>
  <pageSetup paperSize="9" orientation="portrait" r:id="rId1"/>
  <headerFooter>
    <oddFooter>&amp;LUnrestricted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24078-81F8-4512-9F98-369AFF495167}">
  <dimension ref="A1:E29"/>
  <sheetViews>
    <sheetView zoomScale="130" zoomScaleNormal="130" workbookViewId="0">
      <selection activeCell="D23" sqref="D23"/>
    </sheetView>
  </sheetViews>
  <sheetFormatPr defaultRowHeight="15" x14ac:dyDescent="0.25"/>
  <cols>
    <col min="1" max="1" width="19" customWidth="1"/>
    <col min="2" max="2" width="23.140625" customWidth="1"/>
    <col min="3" max="3" width="17.140625" customWidth="1"/>
    <col min="4" max="4" width="38.140625" customWidth="1"/>
    <col min="5" max="5" width="25.5703125" customWidth="1"/>
  </cols>
  <sheetData>
    <row r="1" spans="1:5" x14ac:dyDescent="0.25">
      <c r="A1" s="27" t="s">
        <v>46</v>
      </c>
      <c r="B1" s="27" t="s">
        <v>47</v>
      </c>
      <c r="C1" s="27" t="s">
        <v>24</v>
      </c>
      <c r="D1" s="28" t="s">
        <v>23</v>
      </c>
    </row>
    <row r="2" spans="1:5" x14ac:dyDescent="0.25">
      <c r="A2" s="24" t="s">
        <v>45</v>
      </c>
      <c r="B2" s="24" t="s">
        <v>48</v>
      </c>
      <c r="C2" s="24" t="s">
        <v>43</v>
      </c>
      <c r="D2" s="24"/>
    </row>
    <row r="3" spans="1:5" x14ac:dyDescent="0.25">
      <c r="A3" s="24" t="s">
        <v>49</v>
      </c>
      <c r="B3" s="24" t="s">
        <v>51</v>
      </c>
      <c r="C3" s="24" t="s">
        <v>50</v>
      </c>
      <c r="D3" s="24"/>
    </row>
    <row r="4" spans="1:5" x14ac:dyDescent="0.25">
      <c r="A4" s="24" t="s">
        <v>56</v>
      </c>
      <c r="B4" s="24" t="s">
        <v>57</v>
      </c>
      <c r="C4" s="24"/>
      <c r="D4" s="24" t="s">
        <v>77</v>
      </c>
    </row>
    <row r="5" spans="1:5" x14ac:dyDescent="0.25">
      <c r="A5" s="24" t="s">
        <v>58</v>
      </c>
      <c r="B5" s="24" t="s">
        <v>59</v>
      </c>
      <c r="C5" s="24"/>
      <c r="D5" s="24" t="s">
        <v>77</v>
      </c>
    </row>
    <row r="6" spans="1:5" x14ac:dyDescent="0.25">
      <c r="A6" s="24" t="s">
        <v>61</v>
      </c>
      <c r="B6" s="24" t="s">
        <v>60</v>
      </c>
      <c r="C6" s="24"/>
      <c r="D6" s="24" t="s">
        <v>77</v>
      </c>
    </row>
    <row r="7" spans="1:5" x14ac:dyDescent="0.25">
      <c r="A7" s="24" t="s">
        <v>52</v>
      </c>
      <c r="B7" s="24" t="s">
        <v>54</v>
      </c>
      <c r="C7" s="24" t="s">
        <v>53</v>
      </c>
      <c r="D7" s="24" t="s">
        <v>55</v>
      </c>
      <c r="E7" s="26"/>
    </row>
    <row r="8" spans="1:5" x14ac:dyDescent="0.25">
      <c r="A8" s="24"/>
      <c r="B8" s="24"/>
      <c r="C8" s="24"/>
      <c r="D8" s="24"/>
      <c r="E8" s="26"/>
    </row>
    <row r="9" spans="1:5" x14ac:dyDescent="0.25">
      <c r="A9" s="24"/>
      <c r="B9" s="24"/>
      <c r="C9" s="24"/>
      <c r="D9" s="24"/>
    </row>
    <row r="10" spans="1:5" x14ac:dyDescent="0.25">
      <c r="A10" s="24"/>
      <c r="B10" s="24"/>
      <c r="C10" s="24"/>
      <c r="D10" s="24"/>
    </row>
    <row r="11" spans="1:5" x14ac:dyDescent="0.25">
      <c r="A11" s="24"/>
      <c r="B11" s="24"/>
      <c r="C11" s="24"/>
      <c r="D11" s="24"/>
    </row>
    <row r="13" spans="1:5" x14ac:dyDescent="0.25">
      <c r="A13" s="43" t="s">
        <v>26</v>
      </c>
    </row>
    <row r="14" spans="1:5" x14ac:dyDescent="0.25">
      <c r="A14" t="s">
        <v>65</v>
      </c>
    </row>
    <row r="16" spans="1:5" x14ac:dyDescent="0.25">
      <c r="A16" s="43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1" spans="1:1" x14ac:dyDescent="0.25">
      <c r="A21" s="43" t="s">
        <v>31</v>
      </c>
    </row>
    <row r="22" spans="1:1" x14ac:dyDescent="0.25">
      <c r="A22" t="s">
        <v>32</v>
      </c>
    </row>
    <row r="25" spans="1:1" x14ac:dyDescent="0.25">
      <c r="A25" s="43" t="s">
        <v>62</v>
      </c>
    </row>
    <row r="26" spans="1:1" x14ac:dyDescent="0.25">
      <c r="A26" t="s">
        <v>63</v>
      </c>
    </row>
    <row r="27" spans="1:1" x14ac:dyDescent="0.25">
      <c r="A27" t="s">
        <v>64</v>
      </c>
    </row>
    <row r="29" spans="1:1" x14ac:dyDescent="0.25">
      <c r="A29" s="43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133D5-5A2B-4847-89A8-78E1DEF8DAC9}">
  <dimension ref="A1:E9"/>
  <sheetViews>
    <sheetView zoomScale="115" zoomScaleNormal="115" workbookViewId="0">
      <selection activeCell="B30" sqref="B30"/>
    </sheetView>
  </sheetViews>
  <sheetFormatPr defaultRowHeight="15" x14ac:dyDescent="0.25"/>
  <cols>
    <col min="1" max="1" width="18.140625" style="51" customWidth="1"/>
    <col min="2" max="2" width="8.5703125" style="49" customWidth="1"/>
    <col min="3" max="3" width="77.42578125" style="45" customWidth="1"/>
    <col min="4" max="4" width="13.28515625" customWidth="1"/>
    <col min="5" max="5" width="59.7109375" customWidth="1"/>
  </cols>
  <sheetData>
    <row r="1" spans="1:5" x14ac:dyDescent="0.25">
      <c r="A1" s="53" t="s">
        <v>37</v>
      </c>
      <c r="C1" s="46">
        <v>45677</v>
      </c>
    </row>
    <row r="2" spans="1:5" x14ac:dyDescent="0.25">
      <c r="A2" s="54" t="s">
        <v>35</v>
      </c>
      <c r="B2" s="55" t="s">
        <v>36</v>
      </c>
      <c r="C2" s="56" t="s">
        <v>34</v>
      </c>
      <c r="D2" s="48" t="s">
        <v>24</v>
      </c>
      <c r="E2" s="24" t="s">
        <v>39</v>
      </c>
    </row>
    <row r="3" spans="1:5" x14ac:dyDescent="0.25">
      <c r="A3" s="52"/>
      <c r="B3" s="50"/>
      <c r="C3" s="47"/>
      <c r="D3" s="24"/>
      <c r="E3" s="24"/>
    </row>
    <row r="4" spans="1:5" x14ac:dyDescent="0.25">
      <c r="A4" s="52"/>
      <c r="B4" s="50"/>
      <c r="C4" s="47"/>
      <c r="D4" s="24"/>
      <c r="E4" s="24"/>
    </row>
    <row r="5" spans="1:5" x14ac:dyDescent="0.25">
      <c r="A5" s="52"/>
      <c r="B5" s="50"/>
      <c r="C5" s="47"/>
      <c r="D5" s="24"/>
      <c r="E5" s="24"/>
    </row>
    <row r="6" spans="1:5" x14ac:dyDescent="0.25">
      <c r="A6" s="52"/>
      <c r="B6" s="50"/>
      <c r="C6" s="47"/>
      <c r="D6" s="24"/>
      <c r="E6" s="24"/>
    </row>
    <row r="7" spans="1:5" x14ac:dyDescent="0.25">
      <c r="A7" s="52"/>
      <c r="B7" s="50"/>
      <c r="C7" s="47"/>
      <c r="D7" s="24"/>
      <c r="E7" s="24"/>
    </row>
    <row r="8" spans="1:5" x14ac:dyDescent="0.25">
      <c r="A8" s="52"/>
      <c r="B8" s="50"/>
      <c r="C8" s="47"/>
      <c r="D8" s="24"/>
      <c r="E8" s="47"/>
    </row>
    <row r="9" spans="1:5" x14ac:dyDescent="0.25">
      <c r="A9" s="52"/>
      <c r="B9" s="50"/>
      <c r="C9" s="47"/>
      <c r="D9" s="24"/>
      <c r="E9" s="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23152C64AB245A4920FAC4BFBAFBF" ma:contentTypeVersion="14" ma:contentTypeDescription="Create a new document." ma:contentTypeScope="" ma:versionID="a147ce5196179442ab1c9726cb178aa9">
  <xsd:schema xmlns:xsd="http://www.w3.org/2001/XMLSchema" xmlns:xs="http://www.w3.org/2001/XMLSchema" xmlns:p="http://schemas.microsoft.com/office/2006/metadata/properties" xmlns:ns2="6bd1f968-35b2-42cf-8f7c-e2953acad71e" xmlns:ns3="1ae5cbaf-126a-426e-8f85-663306326d36" targetNamespace="http://schemas.microsoft.com/office/2006/metadata/properties" ma:root="true" ma:fieldsID="10ccb65649512309cf78050fc0bef035" ns2:_="" ns3:_="">
    <xsd:import namespace="6bd1f968-35b2-42cf-8f7c-e2953acad71e"/>
    <xsd:import namespace="1ae5cbaf-126a-426e-8f85-663306326d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d1f968-35b2-42cf-8f7c-e2953acad7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63edab7-d5f1-4c02-989a-0e8ed7c6c3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e5cbaf-126a-426e-8f85-663306326d3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d1f968-35b2-42cf-8f7c-e2953acad71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65F0A1-FDE8-440A-ABF0-4BAD6A68DC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d1f968-35b2-42cf-8f7c-e2953acad71e"/>
    <ds:schemaRef ds:uri="1ae5cbaf-126a-426e-8f85-663306326d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5780F8-7536-4E8F-AE43-2ECD1E074F9C}">
  <ds:schemaRefs>
    <ds:schemaRef ds:uri="http://schemas.microsoft.com/office/2006/metadata/properties"/>
    <ds:schemaRef ds:uri="http://schemas.microsoft.com/office/infopath/2007/PartnerControls"/>
    <ds:schemaRef ds:uri="6bd1f968-35b2-42cf-8f7c-e2953acad71e"/>
  </ds:schemaRefs>
</ds:datastoreItem>
</file>

<file path=customXml/itemProps3.xml><?xml version="1.0" encoding="utf-8"?>
<ds:datastoreItem xmlns:ds="http://schemas.openxmlformats.org/officeDocument/2006/customXml" ds:itemID="{D0F0BDBA-B25F-4B13-9129-7AFFFECE8FC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WBS</vt:lpstr>
      <vt:lpstr>Time Plan</vt:lpstr>
      <vt:lpstr>架构设计</vt:lpstr>
      <vt:lpstr>minutes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Gao, Yong (DI CS SFAE CS SD SO PSM DIG)</dc:creator>
  <cp:lastModifiedBy>Gao, Yong (DI CS SO CN-SE DS SCADA)</cp:lastModifiedBy>
  <dcterms:created xsi:type="dcterms:W3CDTF">2015-06-05T18:19:34Z</dcterms:created>
  <dcterms:modified xsi:type="dcterms:W3CDTF">2026-04-02T08:09:53Z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0x010100E5923152C64AB245A4920FAC4BFBAFBF</vt:lpwstr>
  </property>
  <property fmtid="{D5CDD505-2E9C-101B-9397-08002B2CF9AE}" pid="3" name="MediaServiceImageTags">
    <vt:lpwstr/>
  </property>
</Properties>
</file>